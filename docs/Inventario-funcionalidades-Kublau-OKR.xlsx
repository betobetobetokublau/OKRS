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yenda" sheetId="1" state="visible" r:id="rId3"/>
    <sheet name="Módulos" sheetId="2" state="visible" r:id="rId4"/>
    <sheet name="Inventario" sheetId="3" state="visible" r:id="rId5"/>
  </sheets>
  <definedNames>
    <definedName function="false" hidden="true" localSheetId="2" name="_xlnm._FilterDatabase" vbProcedure="false">Inventario!$A$1:$H$267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<sst xmlns="http://schemas.openxmlformats.org/spreadsheetml/2006/main" count="2227" uniqueCount="1069">
  <si>
    <t xml:space="preserve">Estado</t>
  </si>
  <si>
    <t xml:space="preserve">Significado</t>
  </si>
  <si>
    <t xml:space="preserve">Actual</t>
  </si>
  <si>
    <t xml:space="preserve">Funcionalidad implementada hoy en la plataforma Kublau OKR (inventario de código, 2026-09-10).</t>
  </si>
  <si>
    <t xml:space="preserve">Futuro</t>
  </si>
  <si>
    <t xml:space="preserve">Funcionalidad planeada / pendiente para la plataforma.</t>
  </si>
  <si>
    <t xml:space="preserve">Asana ahora</t>
  </si>
  <si>
    <t xml:space="preserve">Funcionalidad observada en Asana (tablero ALPrioridades) como benchmark; no existe en la plataforma.</t>
  </si>
  <si>
    <t xml:space="preserve">Descartado</t>
  </si>
  <si>
    <t xml:space="preserve">Evaluada y descartada.</t>
  </si>
  <si>
    <t xml:space="preserve">Uso</t>
  </si>
  <si>
    <t xml:space="preserve">Edita la columna Estado del Inventario (lista desplegable). Para convertir una fila de Asana en plan, duplícala con Módulo de la plataforma y Estado = Futuro.</t>
  </si>
  <si>
    <t xml:space="preserve">Columnas</t>
  </si>
  <si>
    <t xml:space="preserve">Módulo = área funcional; Pantalla/Vista = dónde vive; Funcionalidad = botón/control/vista/comportamiento; Descripción = qué hace; Rol = quién puede usarla.</t>
  </si>
  <si>
    <t xml:space="preserve">Módulo</t>
  </si>
  <si>
    <t xml:space="preserve">Propósito</t>
  </si>
  <si>
    <t xml:space="preserve">Funcionalidades (Actual)</t>
  </si>
  <si>
    <t xml:space="preserve">Total</t>
  </si>
  <si>
    <t xml:space="preserve">Dashboard</t>
  </si>
  <si>
    <t xml:space="preserve">Resumen de un vistazo del periodo activo: conteos, progreso promedio y últimos objetivos/tareas.</t>
  </si>
  <si>
    <t xml:space="preserve">Check-in</t>
  </si>
  <si>
    <t xml:space="preserve">Flujo de reporte periódico: encolar progreso, estado y cierre de tareas y enviarlo como un check-in.</t>
  </si>
  <si>
    <t xml:space="preserve">Objetivos</t>
  </si>
  <si>
    <t xml:space="preserve">Vista operativa principal de objetivos agrupados por KPI con 5 visualizaciones, creación y edición inline.</t>
  </si>
  <si>
    <t xml:space="preserve">Objetivo detalle</t>
  </si>
  <si>
    <t xml:space="preserve">Espacio de un objetivo: campos, progreso, tareas y timeline, editable en sitio.</t>
  </si>
  <si>
    <t xml:space="preserve">Skill Tree</t>
  </si>
  <si>
    <t xml:space="preserve">Constelación radial de KPIs y objetivos del periodo, con tabla alternativa y drawer.</t>
  </si>
  <si>
    <t xml:space="preserve">OKRs</t>
  </si>
  <si>
    <t xml:space="preserve">Tabla jerárquica KPI → objetivo → tarea con reorden por arrastre y edición inline.</t>
  </si>
  <si>
    <t xml:space="preserve">KPIs</t>
  </si>
  <si>
    <t xml:space="preserve">Galería de KPIs del periodo, creación y acceso al detalle.</t>
  </si>
  <si>
    <t xml:space="preserve">KPI detalle</t>
  </si>
  <si>
    <t xml:space="preserve">Espacio de un KPI: campos, progreso consolidado, objetivos vinculados y timeline.</t>
  </si>
  <si>
    <t xml:space="preserve">Mis Tareas</t>
  </si>
  <si>
    <t xml:space="preserve">Lista personal de tareas del usuario agrupadas por objetivo (periodo activo).</t>
  </si>
  <si>
    <t xml:space="preserve">Revisión Mensual</t>
  </si>
  <si>
    <t xml:space="preserve">Auto-revisión mensual de progreso y estado de tareas con comentario.</t>
  </si>
  <si>
    <t xml:space="preserve">Trimestral</t>
  </si>
  <si>
    <t xml:space="preserve">Dashboard ejecutivo trimestral con modo presentación y exportación PDF.</t>
  </si>
  <si>
    <t xml:space="preserve">Periodos</t>
  </si>
  <si>
    <t xml:space="preserve">Gestión de periodos trimestrales y selección del activo.</t>
  </si>
  <si>
    <t xml:space="preserve">Departamentos</t>
  </si>
  <si>
    <t xml:space="preserve">Distribución de personas, KPIs y objetivos por departamento.</t>
  </si>
  <si>
    <t xml:space="preserve">Equipo</t>
  </si>
  <si>
    <t xml:space="preserve">Consola admin de usuarios: alta, roles, contraseñas e impersonación.</t>
  </si>
  <si>
    <t xml:space="preserve">Configuración</t>
  </si>
  <si>
    <t xml:space="preserve">Nombre y slug del workspace.</t>
  </si>
  <si>
    <t xml:space="preserve">Comentarios</t>
  </si>
  <si>
    <t xml:space="preserve">Feed de actividad y comentarios en objetivos y KPIs.</t>
  </si>
  <si>
    <t xml:space="preserve">Auth</t>
  </si>
  <si>
    <t xml:space="preserve">Acceso, cambio de contraseña obligatorio y protección de rutas.</t>
  </si>
  <si>
    <t xml:space="preserve">Roles</t>
  </si>
  <si>
    <t xml:space="preserve">Roles admin/manager/member por workspace y sus permisos.</t>
  </si>
  <si>
    <t xml:space="preserve">Navegación</t>
  </si>
  <si>
    <t xml:space="preserve">Barra lateral y superior.</t>
  </si>
  <si>
    <t xml:space="preserve">Notificaciones</t>
  </si>
  <si>
    <t xml:space="preserve">Avisos in-app en tiempo real.</t>
  </si>
  <si>
    <t xml:space="preserve">Actividad</t>
  </si>
  <si>
    <t xml:space="preserve">Panel de cronología del workspace.</t>
  </si>
  <si>
    <t xml:space="preserve">Onboarding</t>
  </si>
  <si>
    <t xml:space="preserve">Carrusel de bienvenida en primer acceso.</t>
  </si>
  <si>
    <t xml:space="preserve">Email</t>
  </si>
  <si>
    <t xml:space="preserve">Correos automáticos y recordatorios (cron).</t>
  </si>
  <si>
    <t xml:space="preserve">Sistema</t>
  </si>
  <si>
    <t xml:space="preserve">Seguridad y capacidades de plataforma.</t>
  </si>
  <si>
    <t xml:space="preserve">Datos</t>
  </si>
  <si>
    <t xml:space="preserve">Modelo de datos (entidades).</t>
  </si>
  <si>
    <t xml:space="preserve">Tableros</t>
  </si>
  <si>
    <t xml:space="preserve">Tableros de trabajo (Sprint, Backlog, Iniciativas, personales) con secciones/columnas propias; una tarea vive en N tableros, una sección por tablero; sin efecto en el progreso de OKRs. Incluye Modo Standup.</t>
  </si>
  <si>
    <t xml:space="preserve">Asana · Tarea</t>
  </si>
  <si>
    <t xml:space="preserve">Benchmark Asana: gestión de una tarea.</t>
  </si>
  <si>
    <t xml:space="preserve">Asana · Comentarios</t>
  </si>
  <si>
    <t xml:space="preserve">Benchmark Asana: comentarios y actividad.</t>
  </si>
  <si>
    <t xml:space="preserve">Asana · Tablero</t>
  </si>
  <si>
    <t xml:space="preserve">Benchmark Asana: tablero, secciones y vistas.</t>
  </si>
  <si>
    <t xml:space="preserve">Asana · Filtros</t>
  </si>
  <si>
    <t xml:space="preserve">Benchmark Asana: filtros, orden, agrupación y opciones de vista.</t>
  </si>
  <si>
    <t xml:space="preserve">Asana · Campos</t>
  </si>
  <si>
    <t xml:space="preserve">Benchmark Asana: campos personalizados.</t>
  </si>
  <si>
    <t xml:space="preserve">Asana · Automatización</t>
  </si>
  <si>
    <t xml:space="preserve">Benchmark Asana: reglas y plantillas.</t>
  </si>
  <si>
    <t xml:space="preserve">Asana · Proyecto</t>
  </si>
  <si>
    <t xml:space="preserve">Benchmark Asana: gestión de proyecto.</t>
  </si>
  <si>
    <t xml:space="preserve">Asana · Personal</t>
  </si>
  <si>
    <t xml:space="preserve">Benchmark Asana: vistas personales.</t>
  </si>
  <si>
    <t xml:space="preserve">Asana · Analítica</t>
  </si>
  <si>
    <t xml:space="preserve">Benchmark Asana: dashboard de proyecto.</t>
  </si>
  <si>
    <t xml:space="preserve">ID</t>
  </si>
  <si>
    <t xml:space="preserve">Pantalla / Vista</t>
  </si>
  <si>
    <t xml:space="preserve">Funcionalidad</t>
  </si>
  <si>
    <t xml:space="preserve">Descripción</t>
  </si>
  <si>
    <t xml:space="preserve">Rol / Restricción</t>
  </si>
  <si>
    <t xml:space="preserve">Notas</t>
  </si>
  <si>
    <t xml:space="preserve">F-001</t>
  </si>
  <si>
    <t xml:space="preserve">Home</t>
  </si>
  <si>
    <t xml:space="preserve">Subtítulo "Periodo activo: {nombre}"</t>
  </si>
  <si>
    <t xml:space="preserve">Muestra a qué periodo pertenecen todas las cifras</t>
  </si>
  <si>
    <t xml:space="preserve">—</t>
  </si>
  <si>
    <t xml:space="preserve">Oculto si no hay periodo activo</t>
  </si>
  <si>
    <t xml:space="preserve">F-002</t>
  </si>
  <si>
    <t xml:space="preserve">Tarjeta "KPIs"</t>
  </si>
  <si>
    <t xml:space="preserve">Cuenta los KPIs del periodo activo</t>
  </si>
  <si>
    <t xml:space="preserve">F-003</t>
  </si>
  <si>
    <t xml:space="preserve">Tarjeta "Objetivos"</t>
  </si>
  <si>
    <t xml:space="preserve">Cuenta los objetivos del periodo activo</t>
  </si>
  <si>
    <t xml:space="preserve">F-004</t>
  </si>
  <si>
    <t xml:space="preserve">Tarjeta "Tareas completadas"</t>
  </si>
  <si>
    <t xml:space="preserve">Muestra tareas completadas sobre el total del periodo (X/Y)</t>
  </si>
  <si>
    <t xml:space="preserve">F-005</t>
  </si>
  <si>
    <t xml:space="preserve">Tarjeta "Tareas bloqueadas"</t>
  </si>
  <si>
    <t xml:space="preserve">Cuenta las tareas bloqueadas actualmente</t>
  </si>
  <si>
    <t xml:space="preserve">F-006</t>
  </si>
  <si>
    <t xml:space="preserve">Barra "Progreso promedio de KPIs"</t>
  </si>
  <si>
    <t xml:space="preserve">Promedio de progreso manual de todos los KPIs del periodo</t>
  </si>
  <si>
    <t xml:space="preserve">0% sin KPIs</t>
  </si>
  <si>
    <t xml:space="preserve">F-007</t>
  </si>
  <si>
    <t xml:space="preserve">Barra "Progreso promedio de Objetivos"</t>
  </si>
  <si>
    <t xml:space="preserve">Promedio de progreso manual de todos los objetivos del periodo</t>
  </si>
  <si>
    <t xml:space="preserve">0% sin objetivos</t>
  </si>
  <si>
    <t xml:space="preserve">F-008</t>
  </si>
  <si>
    <t xml:space="preserve">Lista "Objetivos recientes"</t>
  </si>
  <si>
    <t xml:space="preserve">Últimos 5 objetivos creados con su badge de estado</t>
  </si>
  <si>
    <t xml:space="preserve">Vacío: "Aún no hay objetivos para este periodo."</t>
  </si>
  <si>
    <t xml:space="preserve">F-009</t>
  </si>
  <si>
    <t xml:space="preserve">Lista "Tareas recientes"</t>
  </si>
  <si>
    <t xml:space="preserve">Últimas 5 tareas del periodo con su badge de estado</t>
  </si>
  <si>
    <t xml:space="preserve">Vacío: "Aún no hay tareas para este periodo."</t>
  </si>
  <si>
    <t xml:space="preserve">F-010</t>
  </si>
  <si>
    <t xml:space="preserve">Badges de estado</t>
  </si>
  <si>
    <t xml:space="preserve">Etiquetas de color+icono (Objetivo: En progreso/Pausado/Deprecado/Próximo; Tarea: Pendiente/En progreso/Completada/Bloqueada)</t>
  </si>
  <si>
    <t xml:space="preserve">Solo lectura</t>
  </si>
  <si>
    <t xml:space="preserve">F-011</t>
  </si>
  <si>
    <t xml:space="preserve">Estados de carga y error</t>
  </si>
  <si>
    <t xml:space="preserve">"Cargando dashboard..." y banner "No pudimos cargar el dashboard"</t>
  </si>
  <si>
    <t xml:space="preserve">F-012</t>
  </si>
  <si>
    <t xml:space="preserve">Principal</t>
  </si>
  <si>
    <t xml:space="preserve">Banner fijo bajo la barra superior</t>
  </si>
  <si>
    <t xml:space="preserve">Mantiene título del día, contador y CTA visibles al hacer scroll</t>
  </si>
  <si>
    <t xml:space="preserve">Oculto sin periodo activo. Pendiente: mover CTA inline</t>
  </si>
  <si>
    <t xml:space="preserve">F-013</t>
  </si>
  <si>
    <t xml:space="preserve">Badge de calendario (mes + día)</t>
  </si>
  <si>
    <t xml:space="preserve">Ancla visual con la fecha de hoy</t>
  </si>
  <si>
    <t xml:space="preserve">Decorativo</t>
  </si>
  <si>
    <t xml:space="preserve">F-014</t>
  </si>
  <si>
    <t xml:space="preserve">Título "Check-in del día {D} de {mes}"</t>
  </si>
  <si>
    <t xml:space="preserve">Indica que es el check-in de hoy</t>
  </si>
  <si>
    <t xml:space="preserve">F-015</t>
  </si>
  <si>
    <t xml:space="preserve">Subtítulo "Actualiza tus objetivos y tareas del periodo {nombre}"</t>
  </si>
  <si>
    <t xml:space="preserve">Explica la tarea a realizar</t>
  </si>
  <si>
    <t xml:space="preserve">Fallback "Sin periodo activo"</t>
  </si>
  <si>
    <t xml:space="preserve">F-016</t>
  </si>
  <si>
    <t xml:space="preserve">Contador "Has actualizado N de M objetivos"</t>
  </si>
  <si>
    <t xml:space="preserve">Conteo en vivo de objetivos con cambios encolados vs total visible</t>
  </si>
  <si>
    <t xml:space="preserve">F-017</t>
  </si>
  <si>
    <t xml:space="preserve">Botón "Reportar actualización"</t>
  </si>
  <si>
    <t xml:space="preserve">Abre el modal de confirmación para enviar el check-in</t>
  </si>
  <si>
    <t xml:space="preserve">"Enviando…" y deshabilitado al guardar o sin periodo</t>
  </si>
  <si>
    <t xml:space="preserve">F-018</t>
  </si>
  <si>
    <t xml:space="preserve">Nudge/tooltip sobre el CTA</t>
  </si>
  <si>
    <t xml:space="preserve">Explica que hay que actualizar al menos una iniciativa antes de reportar</t>
  </si>
  <si>
    <t xml:space="preserve">Aparece en hover/click sin cambios encolados; se auto-oculta ~4s</t>
  </si>
  <si>
    <t xml:space="preserve">F-019</t>
  </si>
  <si>
    <t xml:space="preserve">Hero</t>
  </si>
  <si>
    <t xml:space="preserve">Titular "Te quedan N días para hacer la diferencia en {periodo}"</t>
  </si>
  <si>
    <t xml:space="preserve">Cuenta regresiva motivacional al fin del periodo</t>
  </si>
  <si>
    <t xml:space="preserve">Oculto sin periodo</t>
  </si>
  <si>
    <t xml:space="preserve">F-020</t>
  </si>
  <si>
    <t xml:space="preserve">Texto "Llevas N check-ins en M meses…" + benchmark</t>
  </si>
  <si>
    <t xml:space="preserve">Hábito de check-in del usuario y prueba social</t>
  </si>
  <si>
    <t xml:space="preserve">Solo check-ins del usuario en el periodo</t>
  </si>
  <si>
    <t xml:space="preserve">F-021</t>
  </si>
  <si>
    <t xml:space="preserve">Stats "N sem Restantes" / "N% Transcurrido"</t>
  </si>
  <si>
    <t xml:space="preserve">Semanas restantes y porcentaje del periodo transcurrido</t>
  </si>
  <si>
    <t xml:space="preserve">F-022</t>
  </si>
  <si>
    <t xml:space="preserve">Barra de línea de tiempo del periodo</t>
  </si>
  <si>
    <t xml:space="preserve">Visualiza dónde está hoy dentro del periodo con fechas inicio/fin</t>
  </si>
  <si>
    <t xml:space="preserve">F-023</t>
  </si>
  <si>
    <t xml:space="preserve">Sección "Objetivos asignados a mí"</t>
  </si>
  <si>
    <t xml:space="preserve">Agrupa KPIs con al menos un objetivo asignado personalmente al usuario</t>
  </si>
  <si>
    <t xml:space="preserve">Oculta si vacía</t>
  </si>
  <si>
    <t xml:space="preserve">F-024</t>
  </si>
  <si>
    <t xml:space="preserve">Sección "Objetivos asignados a mi departamento"</t>
  </si>
  <si>
    <t xml:space="preserve">Agrupa KPIs visibles solo por pertenencia al departamento</t>
  </si>
  <si>
    <t xml:space="preserve">F-025</t>
  </si>
  <si>
    <t xml:space="preserve">Tarjeta por KPI con título clicable</t>
  </si>
  <si>
    <t xml:space="preserve">Abre el panel lateral de detalle del KPI</t>
  </si>
  <si>
    <t xml:space="preserve">Texto plano en el bucket "Sin KPI asignado"</t>
  </si>
  <si>
    <t xml:space="preserve">F-026</t>
  </si>
  <si>
    <t xml:space="preserve">Badge de departamento en la tarjeta KPI</t>
  </si>
  <si>
    <t xml:space="preserve">Muestra el/los departamentos dueños del KPI</t>
  </si>
  <si>
    <t xml:space="preserve">Oculto si no hay</t>
  </si>
  <si>
    <t xml:space="preserve">F-027</t>
  </si>
  <si>
    <t xml:space="preserve">Tabla "Nombre / Responsable / Estado / Progreso" + acciones</t>
  </si>
  <si>
    <t xml:space="preserve">Layout de cada fila de objetivo</t>
  </si>
  <si>
    <t xml:space="preserve">F-028</t>
  </si>
  <si>
    <t xml:space="preserve">Click en fila de objetivo</t>
  </si>
  <si>
    <t xml:space="preserve">Expande/colapsa la lista de tareas del objetivo</t>
  </si>
  <si>
    <t xml:space="preserve">Solo si tiene tareas</t>
  </si>
  <si>
    <t xml:space="preserve">F-029</t>
  </si>
  <si>
    <t xml:space="preserve">Botón título del objetivo</t>
  </si>
  <si>
    <t xml:space="preserve">Abre el panel lateral de detalle del objetivo</t>
  </si>
  <si>
    <t xml:space="preserve">F-030</t>
  </si>
  <si>
    <t xml:space="preserve">Icono lápiz "Pendiente de guardar"</t>
  </si>
  <si>
    <t xml:space="preserve">Marca filas con cambios encolados sin guardar</t>
  </si>
  <si>
    <t xml:space="preserve">La fila también se tiñe</t>
  </si>
  <si>
    <t xml:space="preserve">F-031</t>
  </si>
  <si>
    <t xml:space="preserve">Celda "Responsable" (avatar + nombre)</t>
  </si>
  <si>
    <t xml:space="preserve">Muestra quién es dueño del objetivo</t>
  </si>
  <si>
    <t xml:space="preserve">"Sin asignar" si vacío</t>
  </si>
  <si>
    <t xml:space="preserve">F-032</t>
  </si>
  <si>
    <t xml:space="preserve">Chip de estado del objetivo</t>
  </si>
  <si>
    <t xml:space="preserve">Estado efectivo (el valor encolado gana sobre el guardado)</t>
  </si>
  <si>
    <t xml:space="preserve">F-033</t>
  </si>
  <si>
    <t xml:space="preserve">Mini barra de progreso</t>
  </si>
  <si>
    <t xml:space="preserve">Progreso efectivo con color rojo/ámbar/verde</t>
  </si>
  <si>
    <t xml:space="preserve">F-034</t>
  </si>
  <si>
    <t xml:space="preserve">Botón "+ Tarea"</t>
  </si>
  <si>
    <t xml:space="preserve">Abre el formulario de nueva tarea vinculada a ese objetivo</t>
  </si>
  <si>
    <t xml:space="preserve">F-035</t>
  </si>
  <si>
    <t xml:space="preserve">Botón "Actualizar"</t>
  </si>
  <si>
    <t xml:space="preserve">Abre el modal para encolar progreso/estado/comentario del objetivo</t>
  </si>
  <si>
    <t xml:space="preserve">Acción primaria de la fila</t>
  </si>
  <si>
    <t xml:space="preserve">F-036</t>
  </si>
  <si>
    <t xml:space="preserve">Filas de tareas anidadas (↳)</t>
  </si>
  <si>
    <t xml:space="preserve">Lista las tareas del objetivo al expandir</t>
  </si>
  <si>
    <t xml:space="preserve">F-037</t>
  </si>
  <si>
    <t xml:space="preserve">Botón título de tarea</t>
  </si>
  <si>
    <t xml:space="preserve">Abre el panel lateral de detalle de la tarea</t>
  </si>
  <si>
    <t xml:space="preserve">F-038</t>
  </si>
  <si>
    <t xml:space="preserve">Botón "Terminada" (checkbox)</t>
  </si>
  <si>
    <t xml:space="preserve">Encola/desencola marcar la tarea como completada</t>
  </si>
  <si>
    <t xml:space="preserve">Deshabilitado y verde si ya está completada</t>
  </si>
  <si>
    <t xml:space="preserve">F-039</t>
  </si>
  <si>
    <t xml:space="preserve">Badge "Se marcará completada"</t>
  </si>
  <si>
    <t xml:space="preserve">Señala una tarea encolada para completarse en este check-in</t>
  </si>
  <si>
    <t xml:space="preserve">F-040</t>
  </si>
  <si>
    <t xml:space="preserve">Modal actualizar</t>
  </si>
  <si>
    <t xml:space="preserve">Modal "Actualizar objetivo"</t>
  </si>
  <si>
    <t xml:space="preserve">Permite componer la actualización de un objetivo (no guarda, encola)</t>
  </si>
  <si>
    <t xml:space="preserve">F-041</t>
  </si>
  <si>
    <t xml:space="preserve">Slider "Progreso manual" con % en vivo</t>
  </si>
  <si>
    <t xml:space="preserve">Fija el nuevo progreso manual</t>
  </si>
  <si>
    <t xml:space="preserve">Oculto si el modo de progreso es automático</t>
  </si>
  <si>
    <t xml:space="preserve">F-042</t>
  </si>
  <si>
    <t xml:space="preserve">Select "Estado"</t>
  </si>
  <si>
    <t xml:space="preserve">Fija el nuevo estado (Próximo/En progreso/En pausa/Deprecado)</t>
  </si>
  <si>
    <t xml:space="preserve">F-043</t>
  </si>
  <si>
    <t xml:space="preserve">Textarea "Comentario"</t>
  </si>
  <si>
    <t xml:space="preserve">Nota que se añadirá al timeline del objetivo</t>
  </si>
  <si>
    <t xml:space="preserve">F-044</t>
  </si>
  <si>
    <t xml:space="preserve">Botón "Guardar en el check-in"</t>
  </si>
  <si>
    <t xml:space="preserve">Encola los cambios en la fila</t>
  </si>
  <si>
    <t xml:space="preserve">Cierra sin encolar si no hubo cambios</t>
  </si>
  <si>
    <t xml:space="preserve">F-045</t>
  </si>
  <si>
    <t xml:space="preserve">Botón "Descartar cambios"</t>
  </si>
  <si>
    <t xml:space="preserve">Elimina la actualización previamente encolada</t>
  </si>
  <si>
    <t xml:space="preserve">Solo si ya había algo encolado</t>
  </si>
  <si>
    <t xml:space="preserve">F-046</t>
  </si>
  <si>
    <t xml:space="preserve">Modal confirmar</t>
  </si>
  <si>
    <t xml:space="preserve">Modal "Confirmar check-in"</t>
  </si>
  <si>
    <t xml:space="preserve">Revisión previa de todo lo encolado</t>
  </si>
  <si>
    <t xml:space="preserve">Se abre solo si hay cambios</t>
  </si>
  <si>
    <t xml:space="preserve">F-047</t>
  </si>
  <si>
    <t xml:space="preserve">Resumen por objetivo y tarea</t>
  </si>
  <si>
    <t xml:space="preserve">Muestra progreso viejo→nuevo, estado viejo→nuevo, comentario y tareas a cerrar</t>
  </si>
  <si>
    <t xml:space="preserve">"Sin cambios." si no-op</t>
  </si>
  <si>
    <t xml:space="preserve">F-048</t>
  </si>
  <si>
    <t xml:space="preserve">Textarea "¿En qué estás pensando?"</t>
  </si>
  <si>
    <t xml:space="preserve">Nota libre guardada en el check-in</t>
  </si>
  <si>
    <t xml:space="preserve">F-049</t>
  </si>
  <si>
    <t xml:space="preserve">Botón "Confirmar check-in"</t>
  </si>
  <si>
    <t xml:space="preserve">Persiste objetivos, tareas, registro de check-in, log de progreso y comentarios</t>
  </si>
  <si>
    <t xml:space="preserve">Escritura no atómica (hallazgo de auditoría P0)</t>
  </si>
  <si>
    <t xml:space="preserve">F-050</t>
  </si>
  <si>
    <t xml:space="preserve">Botón "Cancelar" / ×</t>
  </si>
  <si>
    <t xml:space="preserve">Vuelve a la lista manteniendo la cola</t>
  </si>
  <si>
    <t xml:space="preserve">F-051</t>
  </si>
  <si>
    <t xml:space="preserve">Toast "Check-in guardado."</t>
  </si>
  <si>
    <t xml:space="preserve">Confirma el envío; limpia la cola y recarga</t>
  </si>
  <si>
    <t xml:space="preserve">F-052</t>
  </si>
  <si>
    <t xml:space="preserve">Estados vacíos</t>
  </si>
  <si>
    <t xml:space="preserve">"No hay un periodo activo." / "No tienes objetivos asignados en este periodo."</t>
  </si>
  <si>
    <t xml:space="preserve">F-053</t>
  </si>
  <si>
    <t xml:space="preserve">Modal nueva tarea</t>
  </si>
  <si>
    <t xml:space="preserve">Formulario "Nueva tarea"</t>
  </si>
  <si>
    <t xml:space="preserve">Crea una tarea bajo un objetivo (título, descripción, asignar a, fecha límite)</t>
  </si>
  <si>
    <t xml:space="preserve">F-054</t>
  </si>
  <si>
    <t xml:space="preserve">Panel lateral</t>
  </si>
  <si>
    <t xml:space="preserve">Panel de detalle (KPI / Objetivo / Tarea)</t>
  </si>
  <si>
    <t xml:space="preserve">Detalle completo de la entidad, editable en sitio</t>
  </si>
  <si>
    <t xml:space="preserve">Member+</t>
  </si>
  <si>
    <t xml:space="preserve">Cierra con ×, backdrop o ESC</t>
  </si>
  <si>
    <t xml:space="preserve">F-055</t>
  </si>
  <si>
    <t xml:space="preserve">Cronología de actividad embebida</t>
  </si>
  <si>
    <t xml:space="preserve">Timeline del workspace integrada al final de la pantalla</t>
  </si>
  <si>
    <t xml:space="preserve">F-056</t>
  </si>
  <si>
    <t xml:space="preserve">Eyebrow "Objetivos · {periodo}" y titular "{N} objetivos, {X}% de avance medio"</t>
  </si>
  <si>
    <t xml:space="preserve">Conteo y promedio de progreso del periodo</t>
  </si>
  <si>
    <t xml:space="preserve">F-057</t>
  </si>
  <si>
    <t xml:space="preserve">Línea "N completados · N en riesgo · N bloqueados"</t>
  </si>
  <si>
    <t xml:space="preserve">Desglose de salud de los objetivos</t>
  </si>
  <si>
    <t xml:space="preserve">En riesgo = &gt;50% del tiempo con &lt;50% progreso</t>
  </si>
  <si>
    <t xml:space="preserve">F-058</t>
  </si>
  <si>
    <t xml:space="preserve">Frase narrativa automática</t>
  </si>
  <si>
    <t xml:space="preserve">Compara departamentos contra el promedio ("X está por encima del ritmo…")</t>
  </si>
  <si>
    <t xml:space="preserve">F-059</t>
  </si>
  <si>
    <t xml:space="preserve">Anillo "Promedio global"</t>
  </si>
  <si>
    <t xml:space="preserve">Gauge circular del promedio general</t>
  </si>
  <si>
    <t xml:space="preserve">F-060</t>
  </si>
  <si>
    <t xml:space="preserve">Botón "+ Crear Objetivo"</t>
  </si>
  <si>
    <t xml:space="preserve">Abre el formulario de creación sin KPI preseleccionado</t>
  </si>
  <si>
    <t xml:space="preserve">Oculto sin periodo activo</t>
  </si>
  <si>
    <t xml:space="preserve">F-061</t>
  </si>
  <si>
    <t xml:space="preserve">Bloque "Progreso por departamento"</t>
  </si>
  <si>
    <t xml:space="preserve">Barras de progreso promedio por departamento con terminados/total</t>
  </si>
  <si>
    <t xml:space="preserve">Solo en Listado y Gantt</t>
  </si>
  <si>
    <t xml:space="preserve">F-062</t>
  </si>
  <si>
    <t xml:space="preserve">Tabs</t>
  </si>
  <si>
    <t xml:space="preserve">Tabs "Listado / Gantt / Métricas / Skill Tree / Overview"</t>
  </si>
  <si>
    <t xml:space="preserve">Cambia entre las cinco visualizaciones</t>
  </si>
  <si>
    <t xml:space="preserve">F-063</t>
  </si>
  <si>
    <t xml:space="preserve">Listado</t>
  </si>
  <si>
    <t xml:space="preserve">Filtro "Asignados a mí" / "Todos"</t>
  </si>
  <si>
    <t xml:space="preserve">Limita a objetivos del usuario/su departamento o muestra todo</t>
  </si>
  <si>
    <t xml:space="preserve">F-064</t>
  </si>
  <si>
    <t xml:space="preserve">Píldoras de filtro por departamento</t>
  </si>
  <si>
    <t xml:space="preserve">Limita la lista a un departamento</t>
  </si>
  <si>
    <t xml:space="preserve">Solo bajo "Todos"</t>
  </si>
  <si>
    <t xml:space="preserve">F-065</t>
  </si>
  <si>
    <t xml:space="preserve">Toggle "Vista resumida" / "Vista detallada"</t>
  </si>
  <si>
    <t xml:space="preserve">Colapsa cada KPI a tarjeta compacta o expande a tabla</t>
  </si>
  <si>
    <t xml:space="preserve">Animación FLIP</t>
  </si>
  <si>
    <t xml:space="preserve">F-066</t>
  </si>
  <si>
    <t xml:space="preserve">Encabezado de sección KPI (anillo, eyebrow, título, descripción)</t>
  </si>
  <si>
    <t xml:space="preserve">Roll-up de progreso del KPI, departamento, título clicable al detalle</t>
  </si>
  <si>
    <t xml:space="preserve">F-067</t>
  </si>
  <si>
    <t xml:space="preserve">Resumen "N objetivos · N en progreso · N en riesgo"</t>
  </si>
  <si>
    <t xml:space="preserve">Conteos por KPI</t>
  </si>
  <si>
    <t xml:space="preserve">Rojo si en riesgo &gt; 0</t>
  </si>
  <si>
    <t xml:space="preserve">F-068</t>
  </si>
  <si>
    <t xml:space="preserve">Píldora de estado del KPI</t>
  </si>
  <si>
    <t xml:space="preserve">En curso / En riesgo / Fuera de curso / Completado</t>
  </si>
  <si>
    <t xml:space="preserve">No editable aquí</t>
  </si>
  <si>
    <t xml:space="preserve">F-069</t>
  </si>
  <si>
    <t xml:space="preserve">Botones "Mover arriba" / "Mover abajo"</t>
  </si>
  <si>
    <t xml:space="preserve">Reordena secciones KPI y guarda el orden global</t>
  </si>
  <si>
    <t xml:space="preserve">Manager/Admin</t>
  </si>
  <si>
    <t xml:space="preserve">F-070</t>
  </si>
  <si>
    <t xml:space="preserve">Tabla "Nombre / Tipo / Responsable / Equipo / Progreso / Estado"</t>
  </si>
  <si>
    <t xml:space="preserve">Layout de la tabla de objetivos de cada KPI</t>
  </si>
  <si>
    <t xml:space="preserve">F-071</t>
  </si>
  <si>
    <t xml:space="preserve">Click en fila → panel lateral</t>
  </si>
  <si>
    <t xml:space="preserve">Abre el detalle del objetivo</t>
  </si>
  <si>
    <t xml:space="preserve">F-072</t>
  </si>
  <si>
    <t xml:space="preserve">Chevron "Expandir/Contraer tareas"</t>
  </si>
  <si>
    <t xml:space="preserve">Muestra las tareas del objetivo dentro de la tabla</t>
  </si>
  <si>
    <t xml:space="preserve">F-073</t>
  </si>
  <si>
    <t xml:space="preserve">Badge tipo "Objetivo" / "Tarea"</t>
  </si>
  <si>
    <t xml:space="preserve">Distingue niveles de fila</t>
  </si>
  <si>
    <t xml:space="preserve">F-074</t>
  </si>
  <si>
    <t xml:space="preserve">Dropdown inline "Responsable"</t>
  </si>
  <si>
    <t xml:space="preserve">Reasigna dueño de objetivo/tarea desde la tabla</t>
  </si>
  <si>
    <t xml:space="preserve">Opción "Sin asignar"</t>
  </si>
  <si>
    <t xml:space="preserve">F-075</t>
  </si>
  <si>
    <t xml:space="preserve">Dropdown inline "Equipo"</t>
  </si>
  <si>
    <t xml:space="preserve">Reasigna departamento responsable desde la tabla</t>
  </si>
  <si>
    <t xml:space="preserve">Tareas heredan del objetivo</t>
  </si>
  <si>
    <t xml:space="preserve">F-076</t>
  </si>
  <si>
    <t xml:space="preserve">Barra de progreso por fila</t>
  </si>
  <si>
    <t xml:space="preserve">Progreso calculado (tareas 0/100%)</t>
  </si>
  <si>
    <t xml:space="preserve">F-077</t>
  </si>
  <si>
    <t xml:space="preserve">Dropdown inline "Estado"</t>
  </si>
  <si>
    <t xml:space="preserve">Cambia estado de objetivo/tarea inmediatamente</t>
  </si>
  <si>
    <t xml:space="preserve">"Bloqueada" pide motivo</t>
  </si>
  <si>
    <t xml:space="preserve">F-078</t>
  </si>
  <si>
    <t xml:space="preserve">Diálogo "Motivo del bloqueo"</t>
  </si>
  <si>
    <t xml:space="preserve">Captura por qué se bloquea una tarea antes de guardar</t>
  </si>
  <si>
    <t xml:space="preserve">F-079</t>
  </si>
  <si>
    <t xml:space="preserve">Fila pie "Agregar objetivo"</t>
  </si>
  <si>
    <t xml:space="preserve">Abre creación pre-vinculada a ese KPI</t>
  </si>
  <si>
    <t xml:space="preserve">F-080</t>
  </si>
  <si>
    <t xml:space="preserve">Sección "Sin KPI asignado"</t>
  </si>
  <si>
    <t xml:space="preserve">Agrupa objetivos huérfanos</t>
  </si>
  <si>
    <t xml:space="preserve">F-081</t>
  </si>
  <si>
    <t xml:space="preserve">"No hay objetivos vinculados a este KPI." / "No hay KPIs ni objetivos en este periodo." / "No hay un periodo activo."</t>
  </si>
  <si>
    <t xml:space="preserve">F-082</t>
  </si>
  <si>
    <t xml:space="preserve">Gantt</t>
  </si>
  <si>
    <t xml:space="preserve">Filtro "Escala" (1 sem / 2 sem / 1 mes / 3 meses / periodo / 6 meses)</t>
  </si>
  <si>
    <t xml:space="preserve">Cambia la ventana temporal visible</t>
  </si>
  <si>
    <t xml:space="preserve">F-083</t>
  </si>
  <si>
    <t xml:space="preserve">Filtro "Departamento"</t>
  </si>
  <si>
    <t xml:space="preserve">Limita el gráfico a un departamento</t>
  </si>
  <si>
    <t xml:space="preserve">F-084</t>
  </si>
  <si>
    <t xml:space="preserve">Contador "N objetivos · N fuera del rango · N sin fechas"</t>
  </si>
  <si>
    <t xml:space="preserve">Indica cuánto se muestra y qué se excluyó</t>
  </si>
  <si>
    <t xml:space="preserve">F-085</t>
  </si>
  <si>
    <t xml:space="preserve">Eje de tiempo + marcador "Hoy"</t>
  </si>
  <si>
    <t xml:space="preserve">Encuadra el gráfico y marca la fecha actual</t>
  </si>
  <si>
    <t xml:space="preserve">F-086</t>
  </si>
  <si>
    <t xml:space="preserve">Barra por objetivo (click → detalle)</t>
  </si>
  <si>
    <t xml:space="preserve">Barra coloreada por estado con progreso interno y fechas</t>
  </si>
  <si>
    <t xml:space="preserve">Verde/rojo/gris/teal/índigo</t>
  </si>
  <si>
    <t xml:space="preserve">F-087</t>
  </si>
  <si>
    <t xml:space="preserve">Estado vacío</t>
  </si>
  <si>
    <t xml:space="preserve">"No hay objetivos con fechas en el rango seleccionado."</t>
  </si>
  <si>
    <t xml:space="preserve">F-088</t>
  </si>
  <si>
    <t xml:space="preserve">Métricas</t>
  </si>
  <si>
    <t xml:space="preserve">Tarjetas "Objetivos finalizados" / "Objetivos atrasados"</t>
  </si>
  <si>
    <t xml:space="preserve">Conteo de objetivos al 100% y atrasados</t>
  </si>
  <si>
    <t xml:space="preserve">F-089</t>
  </si>
  <si>
    <t xml:space="preserve">"Leaderboard de departamentos"</t>
  </si>
  <si>
    <t xml:space="preserve">Ranking por objetivos finalizados y progreso promedio</t>
  </si>
  <si>
    <t xml:space="preserve">F-090</t>
  </si>
  <si>
    <t xml:space="preserve">Skill Tree (tab)</t>
  </si>
  <si>
    <t xml:space="preserve">Canvas radial embebido</t>
  </si>
  <si>
    <t xml:space="preserve">Misma visualización radial que la página Skill Tree</t>
  </si>
  <si>
    <t xml:space="preserve">Nodos abren panel lateral</t>
  </si>
  <si>
    <t xml:space="preserve">F-091</t>
  </si>
  <si>
    <t xml:space="preserve">Overview (tab)</t>
  </si>
  <si>
    <t xml:space="preserve">Treemap "Avance por área"</t>
  </si>
  <si>
    <t xml:space="preserve">Bloques por departamento, tamaño ∝ #KPIs, opacidad ∝ progreso</t>
  </si>
  <si>
    <t xml:space="preserve">Click en KPI abre detalle</t>
  </si>
  <si>
    <t xml:space="preserve">F-092</t>
  </si>
  <si>
    <t xml:space="preserve">Modal crear/editar</t>
  </si>
  <si>
    <t xml:space="preserve">Formulario "Crear/Editar Objetivo"</t>
  </si>
  <si>
    <t xml:space="preserve">Título, descripción, estado, modo de progreso, slider, fechas, responsable usuario/departamento, departamentos relacionados, KPIs vinculados</t>
  </si>
  <si>
    <t xml:space="preserve">Fin no puede preceder al inicio</t>
  </si>
  <si>
    <t xml:space="preserve">F-093</t>
  </si>
  <si>
    <t xml:space="preserve">Detalle</t>
  </si>
  <si>
    <t xml:space="preserve">Chips de KPI padre</t>
  </si>
  <si>
    <t xml:space="preserve">Muestra en qué KPIs consolida el objetivo</t>
  </si>
  <si>
    <t xml:space="preserve">"Sin KPI padre"</t>
  </si>
  <si>
    <t xml:space="preserve">F-094</t>
  </si>
  <si>
    <t xml:space="preserve">Botón "Editar"</t>
  </si>
  <si>
    <t xml:space="preserve">Abre el formulario completo</t>
  </si>
  <si>
    <t xml:space="preserve">F-095</t>
  </si>
  <si>
    <t xml:space="preserve">Botón "Eliminar" → "Confirmar"</t>
  </si>
  <si>
    <t xml:space="preserve">Borrado en dos pasos del objetivo, tareas, vínculos, logs y comentarios</t>
  </si>
  <si>
    <t xml:space="preserve">F-096</t>
  </si>
  <si>
    <t xml:space="preserve">Campos inline Responsable / Fechas / Depto. responsable / Estado</t>
  </si>
  <si>
    <t xml:space="preserve">Edición en sitio sin abrir el formulario</t>
  </si>
  <si>
    <t xml:space="preserve">Cualquier rol (estado: Member+)</t>
  </si>
  <si>
    <t xml:space="preserve">F-097</t>
  </si>
  <si>
    <t xml:space="preserve">Campo "Departamentos relacionados" y "Modo de progreso"</t>
  </si>
  <si>
    <t xml:space="preserve">F-098</t>
  </si>
  <si>
    <t xml:space="preserve">Sección "Progreso" con slider</t>
  </si>
  <si>
    <t xml:space="preserve">Fija progreso manual; guarda al soltar</t>
  </si>
  <si>
    <t xml:space="preserve">Member+, modo manual/híbrido</t>
  </si>
  <si>
    <t xml:space="preserve">Modo auto: barra solo lectura</t>
  </si>
  <si>
    <t xml:space="preserve">F-099</t>
  </si>
  <si>
    <t xml:space="preserve">Sección "Tareas (N/M)" + "+ Agregar tarea"</t>
  </si>
  <si>
    <t xml:space="preserve">Lista tareas con select de estado, "Vencida", motivo, fecha, avatar</t>
  </si>
  <si>
    <t xml:space="preserve">Member+ para crear</t>
  </si>
  <si>
    <t xml:space="preserve">F-100</t>
  </si>
  <si>
    <t xml:space="preserve">Sección "Timeline" + caja de comentario</t>
  </si>
  <si>
    <t xml:space="preserve">Feed cronológico de comentarios y cambios de progreso; botón "Comentar"</t>
  </si>
  <si>
    <t xml:space="preserve">F-101</t>
  </si>
  <si>
    <t xml:space="preserve">Controles</t>
  </si>
  <si>
    <t xml:space="preserve">Toggle "Skill Tree" / "Tabla"</t>
  </si>
  <si>
    <t xml:space="preserve">Cambia entre canvas radial y tabla plana</t>
  </si>
  <si>
    <t xml:space="preserve">F-102</t>
  </si>
  <si>
    <t xml:space="preserve">Filtros "Todos los departamentos" / "Todos los KPIs" + "Limpiar filtros"</t>
  </si>
  <si>
    <t xml:space="preserve">Limita el árbol por departamento o KPI</t>
  </si>
  <si>
    <t xml:space="preserve">F-103</t>
  </si>
  <si>
    <t xml:space="preserve">Canvas</t>
  </si>
  <si>
    <t xml:space="preserve">Sectores radiales por KPI con barras por objetivo</t>
  </si>
  <si>
    <t xml:space="preserve">Anillo de progreso del KPI + barra por objetivo (máx 8)</t>
  </si>
  <si>
    <t xml:space="preserve">F-104</t>
  </si>
  <si>
    <t xml:space="preserve">Píldora "Progreso global: N%"</t>
  </si>
  <si>
    <t xml:space="preserve">Promedio de los KPIs visibles</t>
  </si>
  <si>
    <t xml:space="preserve">F-105</t>
  </si>
  <si>
    <t xml:space="preserve">Click en sector KPI → tarjeta de foco</t>
  </si>
  <si>
    <t xml:space="preserve">Atenúa el resto y muestra tarjeta con objetivos del KPI</t>
  </si>
  <si>
    <t xml:space="preserve">Click de nuevo desenfoca</t>
  </si>
  <si>
    <t xml:space="preserve">F-106</t>
  </si>
  <si>
    <t xml:space="preserve">Zoom (+/−/reset, Ctrl+scroll, doble click) y pan por arrastre</t>
  </si>
  <si>
    <t xml:space="preserve">Navegación del canvas</t>
  </si>
  <si>
    <t xml:space="preserve">F-107</t>
  </si>
  <si>
    <t xml:space="preserve">Hint "click enfocar KPI · esc quitar foco"</t>
  </si>
  <si>
    <t xml:space="preserve">Enseña los gestos</t>
  </si>
  <si>
    <t xml:space="preserve">F-108</t>
  </si>
  <si>
    <t xml:space="preserve">Tabla</t>
  </si>
  <si>
    <t xml:space="preserve">Tabla "KPI / Objetivo / Estado / Progreso / Tareas"</t>
  </si>
  <si>
    <t xml:space="preserve">Lista plana; click navega al detalle</t>
  </si>
  <si>
    <t xml:space="preserve">F-109</t>
  </si>
  <si>
    <t xml:space="preserve">Drawer</t>
  </si>
  <si>
    <t xml:space="preserve">Drawer de detalle (KPI/Objetivo/Tarea) + "Ver detalle completo"</t>
  </si>
  <si>
    <t xml:space="preserve">Título, descripción, estado, progreso, tareas, motivo de bloqueo</t>
  </si>
  <si>
    <t xml:space="preserve">F-110</t>
  </si>
  <si>
    <t xml:space="preserve">Tabla jerárquica KPI → Objetivo → Tarea</t>
  </si>
  <si>
    <t xml:space="preserve">Filas expandibles; columnas Nombre/Tipo/Equipo/Progreso/Estado</t>
  </si>
  <si>
    <t xml:space="preserve">F-111</t>
  </si>
  <si>
    <t xml:space="preserve">Botones título → panel lateral</t>
  </si>
  <si>
    <t xml:space="preserve">Abre detalle de KPI/objetivo/tarea</t>
  </si>
  <si>
    <t xml:space="preserve">F-112</t>
  </si>
  <si>
    <t xml:space="preserve">Arrastrar para reordenar KPIs</t>
  </si>
  <si>
    <t xml:space="preserve">Drag &amp; drop guardado globalmente</t>
  </si>
  <si>
    <t xml:space="preserve">F-113</t>
  </si>
  <si>
    <t xml:space="preserve">Dropdowns inline Equipo / Responsable / Estado</t>
  </si>
  <si>
    <t xml:space="preserve">Edición inline en cada nivel</t>
  </si>
  <si>
    <t xml:space="preserve">Bloqueada pide motivo</t>
  </si>
  <si>
    <t xml:space="preserve">F-114</t>
  </si>
  <si>
    <t xml:space="preserve">"No hay KPIs en este periodo." / "No hay un periodo activo…"</t>
  </si>
  <si>
    <t xml:space="preserve">F-115</t>
  </si>
  <si>
    <t xml:space="preserve">Lista</t>
  </si>
  <si>
    <t xml:space="preserve">Botón "+ Crear KPI"</t>
  </si>
  <si>
    <t xml:space="preserve">Abre el formulario de creación</t>
  </si>
  <si>
    <t xml:space="preserve">F-116</t>
  </si>
  <si>
    <t xml:space="preserve">Tarjeta KPI (click → detalle)</t>
  </si>
  <si>
    <t xml:space="preserve">Título, %, descripción, barra, tags de departamento, avatar responsable</t>
  </si>
  <si>
    <t xml:space="preserve">F-117</t>
  </si>
  <si>
    <t xml:space="preserve">"Aún no hay KPIs para este periodo. ¡Crea el primero!"</t>
  </si>
  <si>
    <t xml:space="preserve">F-118</t>
  </si>
  <si>
    <t xml:space="preserve">Formulario "Crear/Editar KPI"</t>
  </si>
  <si>
    <t xml:space="preserve">Título, descripción, modo de progreso, estado (On track/En riesgo/Off track/Logrado), slider, responsables, departamentos relacionados, objetivos vinculados</t>
  </si>
  <si>
    <t xml:space="preserve">F-119</t>
  </si>
  <si>
    <t xml:space="preserve">Botones "Editar" / "Eliminar → Confirmar"</t>
  </si>
  <si>
    <t xml:space="preserve">Edita o borra el KPI (objetivos se desvinculan, no se borran)</t>
  </si>
  <si>
    <t xml:space="preserve">F-120</t>
  </si>
  <si>
    <t xml:space="preserve">Campos inline Responsable / Depto. / Estado</t>
  </si>
  <si>
    <t xml:space="preserve">Edición en sitio</t>
  </si>
  <si>
    <t xml:space="preserve">F-121</t>
  </si>
  <si>
    <t xml:space="preserve">Campo "Periodo" con rango de fechas</t>
  </si>
  <si>
    <t xml:space="preserve">Nombre y fechas del periodo</t>
  </si>
  <si>
    <t xml:space="preserve">F-122</t>
  </si>
  <si>
    <t xml:space="preserve">Sección "Progreso" con slider o barra automática</t>
  </si>
  <si>
    <t xml:space="preserve">Progreso manual o derivado de objetivos</t>
  </si>
  <si>
    <t xml:space="preserve">F-123</t>
  </si>
  <si>
    <t xml:space="preserve">Sección "Objetivos vinculados (N)" + "+ Agregar objetivo"</t>
  </si>
  <si>
    <t xml:space="preserve">Lista objetivos con estado, barra y tareas completadas</t>
  </si>
  <si>
    <t xml:space="preserve">F-124</t>
  </si>
  <si>
    <t xml:space="preserve">Sección "Timeline" + comentario</t>
  </si>
  <si>
    <t xml:space="preserve">Feed de comentarios y cambios de progreso del KPI</t>
  </si>
  <si>
    <t xml:space="preserve">F-125</t>
  </si>
  <si>
    <t xml:space="preserve">Contador "N tareas — N completadas — N bloqueadas"</t>
  </si>
  <si>
    <t xml:space="preserve">Resumen de tareas del usuario en el periodo</t>
  </si>
  <si>
    <t xml:space="preserve">F-126</t>
  </si>
  <si>
    <t xml:space="preserve">Tarjeta por objetivo con "Progreso del objetivo: N%"</t>
  </si>
  <si>
    <t xml:space="preserve">Agrupa las tareas bajo su objetivo padre</t>
  </si>
  <si>
    <t xml:space="preserve">F-127</t>
  </si>
  <si>
    <t xml:space="preserve">Fila de tarea</t>
  </si>
  <si>
    <t xml:space="preserve">Selector de estado inline</t>
  </si>
  <si>
    <t xml:space="preserve">Cambia estado y guarda de inmediato</t>
  </si>
  <si>
    <t xml:space="preserve">Bloqueada abre diálogo de motivo</t>
  </si>
  <si>
    <t xml:space="preserve">F-128</t>
  </si>
  <si>
    <t xml:space="preserve">Badge "Vencida", texto "Motivo:", fecha límite, avatar</t>
  </si>
  <si>
    <t xml:space="preserve">Señales visuales del estado de la tarea</t>
  </si>
  <si>
    <t xml:space="preserve">Fila roja bloqueada / verde completada</t>
  </si>
  <si>
    <t xml:space="preserve">F-129</t>
  </si>
  <si>
    <t xml:space="preserve">Modal "Motivo del bloqueo"</t>
  </si>
  <si>
    <t xml:space="preserve">Campo motivo + "Marcar como bloqueada" / "Cancelar"</t>
  </si>
  <si>
    <t xml:space="preserve">Captura la razón del bloqueo</t>
  </si>
  <si>
    <t xml:space="preserve">F-130</t>
  </si>
  <si>
    <t xml:space="preserve">Formulario de tarea</t>
  </si>
  <si>
    <t xml:space="preserve">"Nueva tarea" / "Editar tarea"</t>
  </si>
  <si>
    <t xml:space="preserve">Objetivo, título, descripción, asignar a, fecha límite</t>
  </si>
  <si>
    <t xml:space="preserve">F-131</t>
  </si>
  <si>
    <t xml:space="preserve">Panel de detalle</t>
  </si>
  <si>
    <t xml:space="preserve">Panel lateral de tarea</t>
  </si>
  <si>
    <t xml:space="preserve">Migas de objetivo, asignada a, fecha, estado editable, motivo, descripción, Editar, Eliminar→Confirmar</t>
  </si>
  <si>
    <t xml:space="preserve">Editar requiere permiso</t>
  </si>
  <si>
    <t xml:space="preserve">F-132</t>
  </si>
  <si>
    <t xml:space="preserve">"No tienes tareas asignadas en este periodo."</t>
  </si>
  <si>
    <t xml:space="preserve">Enlace oculto para miembros</t>
  </si>
  <si>
    <t xml:space="preserve">F-133</t>
  </si>
  <si>
    <t xml:space="preserve">Revisión</t>
  </si>
  <si>
    <t xml:space="preserve">Tarjeta por objetivo con badge y % grande</t>
  </si>
  <si>
    <t xml:space="preserve">Un bloque por objetivo propio o con tareas propias</t>
  </si>
  <si>
    <t xml:space="preserve">F-134</t>
  </si>
  <si>
    <t xml:space="preserve">Slider "Progreso manual"</t>
  </si>
  <si>
    <t xml:space="preserve">Fija el progreso del objetivo para la revisión</t>
  </si>
  <si>
    <t xml:space="preserve">Persiste al guardar</t>
  </si>
  <si>
    <t xml:space="preserve">F-135</t>
  </si>
  <si>
    <t xml:space="preserve">Sección "Tareas" con selector de estado</t>
  </si>
  <si>
    <t xml:space="preserve">Triage de tareas; guarda al instante</t>
  </si>
  <si>
    <t xml:space="preserve">Sin prompt de motivo aquí</t>
  </si>
  <si>
    <t xml:space="preserve">F-136</t>
  </si>
  <si>
    <t xml:space="preserve">Campo "Comentario (opcional)"</t>
  </si>
  <si>
    <t xml:space="preserve">Nota de avance del mes</t>
  </si>
  <si>
    <t xml:space="preserve">F-137</t>
  </si>
  <si>
    <t xml:space="preserve">Botón "Guardar revisión mensual"</t>
  </si>
  <si>
    <t xml:space="preserve">Guarda progreso, escribe log por objetivo y publica comentarios</t>
  </si>
  <si>
    <t xml:space="preserve">Aviso de éxito tras guardar</t>
  </si>
  <si>
    <t xml:space="preserve">F-138</t>
  </si>
  <si>
    <t xml:space="preserve">Indicador de revisión pendiente en sidebar</t>
  </si>
  <si>
    <t xml:space="preserve">Punto rojo cuando hay revisión pendiente</t>
  </si>
  <si>
    <t xml:space="preserve">Construido pero nunca se enciende</t>
  </si>
  <si>
    <t xml:space="preserve">F-139</t>
  </si>
  <si>
    <t xml:space="preserve">Tarjeta "Progreso global de KPIs" + contadores</t>
  </si>
  <si>
    <t xml:space="preserve">Promedio de KPIs, #KPIs, #Objetivos, tareas completadas, bloqueadas</t>
  </si>
  <si>
    <t xml:space="preserve">F-140</t>
  </si>
  <si>
    <t xml:space="preserve">Tarjeta "Por departamento"</t>
  </si>
  <si>
    <t xml:space="preserve">Ranking de departamentos por progreso</t>
  </si>
  <si>
    <t xml:space="preserve">F-141</t>
  </si>
  <si>
    <t xml:space="preserve">Tarjeta "Objetivos por estado"</t>
  </si>
  <si>
    <t xml:space="preserve">Agrupa objetivos por estado con títulos de muestra</t>
  </si>
  <si>
    <t xml:space="preserve">F-142</t>
  </si>
  <si>
    <t xml:space="preserve">Tarjeta "Tareas bloqueadas (N)"</t>
  </si>
  <si>
    <t xml:space="preserve">Lista bloqueos con motivo</t>
  </si>
  <si>
    <t xml:space="preserve">F-143</t>
  </si>
  <si>
    <t xml:space="preserve">Tarjeta "Actividad reciente"</t>
  </si>
  <si>
    <t xml:space="preserve">Últimos 10 comentarios con autor y tiempo relativo</t>
  </si>
  <si>
    <t xml:space="preserve">F-144</t>
  </si>
  <si>
    <t xml:space="preserve">Botón "Modo presentación"</t>
  </si>
  <si>
    <t xml:space="preserve">Deck a pantalla completa de 5 slides con navegación por teclado y puntos</t>
  </si>
  <si>
    <t xml:space="preserve">ESC para salir</t>
  </si>
  <si>
    <t xml:space="preserve">F-145</t>
  </si>
  <si>
    <t xml:space="preserve">Botón "Exportar PDF"</t>
  </si>
  <si>
    <t xml:space="preserve">Descarga informe trimestral (portada, resumen ejecutivo, tablas KPIs/Objetivos, bloqueadas)</t>
  </si>
  <si>
    <t xml:space="preserve">Validado en servidor</t>
  </si>
  <si>
    <t xml:space="preserve">F-146</t>
  </si>
  <si>
    <t xml:space="preserve">Fila de periodo con badge Activo/Próximo/Archivado</t>
  </si>
  <si>
    <t xml:space="preserve">Lista periodos del más nuevo al más viejo</t>
  </si>
  <si>
    <t xml:space="preserve">Admin</t>
  </si>
  <si>
    <t xml:space="preserve">F-147</t>
  </si>
  <si>
    <t xml:space="preserve">Botón "Activar"</t>
  </si>
  <si>
    <t xml:space="preserve">Convierte el periodo en activo y cambia la app a él</t>
  </si>
  <si>
    <t xml:space="preserve">Solo en "Próximo"</t>
  </si>
  <si>
    <t xml:space="preserve">F-148</t>
  </si>
  <si>
    <t xml:space="preserve">Botón "Archivar"</t>
  </si>
  <si>
    <t xml:space="preserve">Cierra el periodo activo</t>
  </si>
  <si>
    <t xml:space="preserve">F-149</t>
  </si>
  <si>
    <t xml:space="preserve">Modal "Crear periodo"</t>
  </si>
  <si>
    <t xml:space="preserve">Nombre, fecha inicio, fecha fin</t>
  </si>
  <si>
    <t xml:space="preserve">Crea el periodo como "Próximo"</t>
  </si>
  <si>
    <t xml:space="preserve">F-150</t>
  </si>
  <si>
    <t xml:space="preserve">Tabla Nombre / Color / Miembros / KPIs / Objetivos</t>
  </si>
  <si>
    <t xml:space="preserve">Departamentos con conteos agregados; click → detalle</t>
  </si>
  <si>
    <t xml:space="preserve">F-151</t>
  </si>
  <si>
    <t xml:space="preserve">Botón "+ Crear departamento"</t>
  </si>
  <si>
    <t xml:space="preserve">Modal con nombre y color</t>
  </si>
  <si>
    <t xml:space="preserve">F-152</t>
  </si>
  <si>
    <t xml:space="preserve">Tarjetas Miembros / KPIs / Objetivos del departamento</t>
  </si>
  <si>
    <t xml:space="preserve">Listas con progreso y estado</t>
  </si>
  <si>
    <t xml:space="preserve">F-153</t>
  </si>
  <si>
    <t xml:space="preserve">Gestión</t>
  </si>
  <si>
    <t xml:space="preserve">Tabla Usuario / Email / Rol / Departamentos</t>
  </si>
  <si>
    <t xml:space="preserve">Lista todos los miembros del workspace</t>
  </si>
  <si>
    <t xml:space="preserve">"Acceso denegado" para otros roles</t>
  </si>
  <si>
    <t xml:space="preserve">F-154</t>
  </si>
  <si>
    <t xml:space="preserve">Badge "Debe cambiar contraseña"</t>
  </si>
  <si>
    <t xml:space="preserve">Señala usuarios con cambio pendiente</t>
  </si>
  <si>
    <t xml:space="preserve">F-155</t>
  </si>
  <si>
    <t xml:space="preserve">Selector de rol (Administrador / Manager / Miembro)</t>
  </si>
  <si>
    <t xml:space="preserve">Cambia el rol del miembro</t>
  </si>
  <si>
    <t xml:space="preserve">Protege al último admin</t>
  </si>
  <si>
    <t xml:space="preserve">F-156</t>
  </si>
  <si>
    <t xml:space="preserve">Botón "Entrar como" (impersonación)</t>
  </si>
  <si>
    <t xml:space="preserve">Ve la plataforma como ese usuario; barra negra + "Volver al admin"</t>
  </si>
  <si>
    <t xml:space="preserve">Solo front-end, por pestaña</t>
  </si>
  <si>
    <t xml:space="preserve">F-157</t>
  </si>
  <si>
    <t xml:space="preserve">Botón "Cambiar contraseña"</t>
  </si>
  <si>
    <t xml:space="preserve">Modal con nueva contraseña, "Generar", requerir cambio</t>
  </si>
  <si>
    <t xml:space="preserve">Auditado</t>
  </si>
  <si>
    <t xml:space="preserve">F-158</t>
  </si>
  <si>
    <t xml:space="preserve">Modal "Crear usuario"</t>
  </si>
  <si>
    <t xml:space="preserve">Nombre, correo, rol, contraseña (+Generar), requerir cambio, departamentos</t>
  </si>
  <si>
    <t xml:space="preserve">Crea la cuenta y muestra credenciales</t>
  </si>
  <si>
    <t xml:space="preserve">Sin autoregistro; no envía email de bienvenida</t>
  </si>
  <si>
    <t xml:space="preserve">F-159</t>
  </si>
  <si>
    <t xml:space="preserve">Ajustes</t>
  </si>
  <si>
    <t xml:space="preserve">Campos "Nombre del workspace" / "Slug (URL)" + "Guardar cambios"</t>
  </si>
  <si>
    <t xml:space="preserve">Renombra el workspace y su URL</t>
  </si>
  <si>
    <t xml:space="preserve">Slug auto-saneado</t>
  </si>
  <si>
    <t xml:space="preserve">F-160</t>
  </si>
  <si>
    <t xml:space="preserve">Timeline</t>
  </si>
  <si>
    <t xml:space="preserve">Caja de comentario + botón "Comentar"</t>
  </si>
  <si>
    <t xml:space="preserve">Publica comentario en objetivo o KPI</t>
  </si>
  <si>
    <t xml:space="preserve">Texto plano</t>
  </si>
  <si>
    <t xml:space="preserve">F-161</t>
  </si>
  <si>
    <t xml:space="preserve">Entrada automática "actualizó el progreso a N%"</t>
  </si>
  <si>
    <t xml:space="preserve">Registra cambios de progreso con la nota del revisor</t>
  </si>
  <si>
    <t xml:space="preserve">En cursiva</t>
  </si>
  <si>
    <t xml:space="preserve">F-162</t>
  </si>
  <si>
    <t xml:space="preserve">Orden cronológico inverso</t>
  </si>
  <si>
    <t xml:space="preserve">Comentarios y actualizaciones intercalados, más recientes primero</t>
  </si>
  <si>
    <t xml:space="preserve">F-163</t>
  </si>
  <si>
    <t xml:space="preserve">Login</t>
  </si>
  <si>
    <t xml:space="preserve">Inicio de sesión email + contraseña</t>
  </si>
  <si>
    <t xml:space="preserve">Entra y redirige al primer workspace del usuario</t>
  </si>
  <si>
    <t xml:space="preserve">Público</t>
  </si>
  <si>
    <t xml:space="preserve">Sin autoregistro</t>
  </si>
  <si>
    <t xml:space="preserve">F-164</t>
  </si>
  <si>
    <t xml:space="preserve">Mostrar/ocultar contraseña, "Recordarme", mensaje de error</t>
  </si>
  <si>
    <t xml:space="preserve">Ayudas del formulario de login</t>
  </si>
  <si>
    <t xml:space="preserve">Recordarme es solo visual</t>
  </si>
  <si>
    <t xml:space="preserve">F-165</t>
  </si>
  <si>
    <t xml:space="preserve">Cambiar contraseña</t>
  </si>
  <si>
    <t xml:space="preserve">Cambio obligatorio en primer acceso</t>
  </si>
  <si>
    <t xml:space="preserve">Bloquea la navegación hasta definir nueva contraseña (min 8)</t>
  </si>
  <si>
    <t xml:space="preserve">Usuarios marcados</t>
  </si>
  <si>
    <t xml:space="preserve">F-166</t>
  </si>
  <si>
    <t xml:space="preserve">Protección global de rutas</t>
  </si>
  <si>
    <t xml:space="preserve">Sin sesión → login; con sesión en /login → workspace</t>
  </si>
  <si>
    <t xml:space="preserve">/api se autentica por ruta</t>
  </si>
  <si>
    <t xml:space="preserve">F-167</t>
  </si>
  <si>
    <t xml:space="preserve">Topbar</t>
  </si>
  <si>
    <t xml:space="preserve">Cerrar sesión</t>
  </si>
  <si>
    <t xml:space="preserve">Cierra sesión y limpia caché local</t>
  </si>
  <si>
    <t xml:space="preserve">F-168</t>
  </si>
  <si>
    <t xml:space="preserve">Tres roles por workspace (admin &gt; manager &gt; member)</t>
  </si>
  <si>
    <t xml:space="preserve">Permisos: admin gestiona workspace/equipo/periodos; member+ edita contenido; manager+ exporta</t>
  </si>
  <si>
    <t xml:space="preserve">F-169</t>
  </si>
  <si>
    <t xml:space="preserve">Validación de pertenencia al workspace</t>
  </si>
  <si>
    <t xml:space="preserve">Toda operación comprueba membresía</t>
  </si>
  <si>
    <t xml:space="preserve">RLS en base de datos</t>
  </si>
  <si>
    <t xml:space="preserve">F-170</t>
  </si>
  <si>
    <t xml:space="preserve">Sidebar</t>
  </si>
  <si>
    <t xml:space="preserve">Sección "Funcionalidades" (Check-in, Objetivos)</t>
  </si>
  <si>
    <t xml:space="preserve">Acciones del día a día</t>
  </si>
  <si>
    <t xml:space="preserve">Todos</t>
  </si>
  <si>
    <t xml:space="preserve">F-171</t>
  </si>
  <si>
    <t xml:space="preserve">Sección "Listados" (Dashboard, OKRs, KPIs, Mis Tareas, Revisión Mensual, Trimestral, Departamentos)</t>
  </si>
  <si>
    <t xml:space="preserve">Vistas de consulta y análisis</t>
  </si>
  <si>
    <t xml:space="preserve">Oculta para miembros</t>
  </si>
  <si>
    <t xml:space="preserve">F-172</t>
  </si>
  <si>
    <t xml:space="preserve">Sección "Administración" (Equipo, Periodos, Configuración)</t>
  </si>
  <si>
    <t xml:space="preserve">Gestión del workspace</t>
  </si>
  <si>
    <t xml:space="preserve">F-173</t>
  </si>
  <si>
    <t xml:space="preserve">Colapsar a iconos + expansión al hover</t>
  </si>
  <si>
    <t xml:space="preserve">Barra reducida con overlay al acercar el cursor; preferencia recordada</t>
  </si>
  <si>
    <t xml:space="preserve">F-174</t>
  </si>
  <si>
    <t xml:space="preserve">Hamburguesa, logo/nombre workspace, botón central Check-in, menú de usuario</t>
  </si>
  <si>
    <t xml:space="preserve">Controles de la barra superior fija</t>
  </si>
  <si>
    <t xml:space="preserve">Botón "Ayuda" oculto</t>
  </si>
  <si>
    <t xml:space="preserve">F-175</t>
  </si>
  <si>
    <t xml:space="preserve">Campana con contador de no leídas</t>
  </si>
  <si>
    <t xml:space="preserve">Abre el panel de actividad; "9+" si más de nueve</t>
  </si>
  <si>
    <t xml:space="preserve">F-176</t>
  </si>
  <si>
    <t xml:space="preserve">Avisos en tiempo real</t>
  </si>
  <si>
    <t xml:space="preserve">Nuevos avisos aparecen sin recargar</t>
  </si>
  <si>
    <t xml:space="preserve">Tipos: revisión mensual, sesión trimestral, tarea asignada, tarea bloqueada, objetivo actualizado, general</t>
  </si>
  <si>
    <t xml:space="preserve">F-177</t>
  </si>
  <si>
    <t xml:space="preserve">Marcar como leído / historial últimos 50</t>
  </si>
  <si>
    <t xml:space="preserve">Gestión básica de avisos</t>
  </si>
  <si>
    <t xml:space="preserve">Solo los dos primeros tipos se generan automáticamente</t>
  </si>
  <si>
    <t xml:space="preserve">F-178</t>
  </si>
  <si>
    <t xml:space="preserve">Panel de actividad</t>
  </si>
  <si>
    <t xml:space="preserve">Panel lateral deslizante "En vivo"</t>
  </si>
  <si>
    <t xml:space="preserve">Cronología unificada de 10 tipos de eventos con frases legibles y fechas naturales</t>
  </si>
  <si>
    <t xml:space="preserve">Click en entidad navega al detalle</t>
  </si>
  <si>
    <t xml:space="preserve">F-179</t>
  </si>
  <si>
    <t xml:space="preserve">Carrusel</t>
  </si>
  <si>
    <t xml:space="preserve">Carrusel de bienvenida de 3 pasos</t>
  </si>
  <si>
    <t xml:space="preserve">Explica KPIs/objetivos/tareas, vista de objetivos y check-in mensual</t>
  </si>
  <si>
    <t xml:space="preserve">Manager y Miembro</t>
  </si>
  <si>
    <t xml:space="preserve">Saltar cuenta como completado; admins no lo ven</t>
  </si>
  <si>
    <t xml:space="preserve">F-180</t>
  </si>
  <si>
    <t xml:space="preserve">Recordatorio de revisión mensual</t>
  </si>
  <si>
    <t xml:space="preserve">Email a quien no registró revisión del día 20 a fin de mes</t>
  </si>
  <si>
    <t xml:space="preserve">Cron diario 09:00 UTC; deduplicado por día</t>
  </si>
  <si>
    <t xml:space="preserve">F-181</t>
  </si>
  <si>
    <t xml:space="preserve">Invitación a sesión trimestral</t>
  </si>
  <si>
    <t xml:space="preserve">Email 7 días antes del fin del periodo activo</t>
  </si>
  <si>
    <t xml:space="preserve">F-182</t>
  </si>
  <si>
    <t xml:space="preserve">Bienvenida de nuevo usuario</t>
  </si>
  <si>
    <t xml:space="preserve">Plantilla con credenciales y enlace</t>
  </si>
  <si>
    <t xml:space="preserve">Manager+</t>
  </si>
  <si>
    <t xml:space="preserve">Existe pero no se dispara al crear usuario</t>
  </si>
  <si>
    <t xml:space="preserve">F-183</t>
  </si>
  <si>
    <t xml:space="preserve">Registro de correos, límite 5/hora por destinatario, aviso in-app paralelo</t>
  </si>
  <si>
    <t xml:space="preserve">Trazabilidad y antispam</t>
  </si>
  <si>
    <t xml:space="preserve">F-184</t>
  </si>
  <si>
    <t xml:space="preserve">Seguridad</t>
  </si>
  <si>
    <t xml:space="preserve">Multiempresa por workspace + RLS</t>
  </si>
  <si>
    <t xml:space="preserve">Datos separados por workspace a nivel de base de datos</t>
  </si>
  <si>
    <t xml:space="preserve">F-185</t>
  </si>
  <si>
    <t xml:space="preserve">Autoría automática, rate limits, validación de entradas, cabeceras de seguridad, HTTPS</t>
  </si>
  <si>
    <t xml:space="preserve">Protecciones de plataforma</t>
  </si>
  <si>
    <t xml:space="preserve">F-186</t>
  </si>
  <si>
    <t xml:space="preserve">Plataforma</t>
  </si>
  <si>
    <t xml:space="preserve">Periodo activo automático</t>
  </si>
  <si>
    <t xml:space="preserve">Detecta el trimestre activo y lo usa como contexto</t>
  </si>
  <si>
    <t xml:space="preserve">Sin periodo → aviso</t>
  </si>
  <si>
    <t xml:space="preserve">F-187</t>
  </si>
  <si>
    <t xml:space="preserve">Interfaz en español, pantallas de error recuperables</t>
  </si>
  <si>
    <t xml:space="preserve">Toda la UI en español; errores contenidos por grupo</t>
  </si>
  <si>
    <t xml:space="preserve">Sin PWA/offline</t>
  </si>
  <si>
    <t xml:space="preserve">F-188</t>
  </si>
  <si>
    <t xml:space="preserve">Entidades</t>
  </si>
  <si>
    <t xml:space="preserve">workspaces, profiles, user_workspaces, departments, user_departments</t>
  </si>
  <si>
    <t xml:space="preserve">Empresa, personas, membresía+rol, departamentos, pertenencia</t>
  </si>
  <si>
    <t xml:space="preserve">F-189</t>
  </si>
  <si>
    <t xml:space="preserve">periods, kpis, objectives, tasks</t>
  </si>
  <si>
    <t xml:space="preserve">Periodos, indicadores, objetivos y tareas (con motivo de bloqueo)</t>
  </si>
  <si>
    <t xml:space="preserve">tasks sin workspace_id (vía objetivo)</t>
  </si>
  <si>
    <t xml:space="preserve">F-190</t>
  </si>
  <si>
    <t xml:space="preserve">kpi_objectives, kpi_departments, objective_departments</t>
  </si>
  <si>
    <t xml:space="preserve">Tablas de vínculo N:N</t>
  </si>
  <si>
    <t xml:space="preserve">F-191</t>
  </si>
  <si>
    <t xml:space="preserve">comments, progress_logs, checkins, checkin_entries</t>
  </si>
  <si>
    <t xml:space="preserve">Comentarios, historial de progreso, check-ins y sus líneas</t>
  </si>
  <si>
    <t xml:space="preserve">F-192</t>
  </si>
  <si>
    <t xml:space="preserve">notifications, email_logs, password_reset_audits</t>
  </si>
  <si>
    <t xml:space="preserve">Avisos, correos enviados, auditoría de contraseñas</t>
  </si>
  <si>
    <t xml:space="preserve">F-193</t>
  </si>
  <si>
    <t xml:space="preserve">Sección "Tableros" bajo Funcionalidades</t>
  </si>
  <si>
    <t xml:space="preserve">Lista de tableros del workspace (favoritos primero) + "+ Nuevo tablero"</t>
  </si>
  <si>
    <t xml:space="preserve">Implementado 2026-09-10 · Diseño ronda 1 A · cubre Asana: Projects, My tasks</t>
  </si>
  <si>
    <t xml:space="preserve">F-194</t>
  </si>
  <si>
    <t xml:space="preserve">Entidades boards / board_sections / board_tasks</t>
  </si>
  <si>
    <t xml:space="preserve">Tablero (nombre, color, visibilidad workspace/privado, owner, depto), secciones con orden, colocación tarea-por-tablero con una sección por tablero</t>
  </si>
  <si>
    <t xml:space="preserve">tasks + workspace_id, objective_id nullable</t>
  </si>
  <si>
    <t xml:space="preserve">F-195</t>
  </si>
  <si>
    <t xml:space="preserve">Tablero</t>
  </si>
  <si>
    <t xml:space="preserve">Vista Kanban: secciones = columnas creadas por el usuario</t>
  </si>
  <si>
    <t xml:space="preserve">Contador por columna, menú ··· (renombrar, mover, ocultar vacías, eliminar → tareas a "Sin sección"), "+ Agregar sección" al final</t>
  </si>
  <si>
    <t xml:space="preserve">Implementado 2026-09-10 · Cubre Asana: Sections, Board view</t>
  </si>
  <si>
    <t xml:space="preserve">F-196</t>
  </si>
  <si>
    <t xml:space="preserve">Drag &amp; drop de tarjetas entre secciones y reorden de secciones</t>
  </si>
  <si>
    <t xml:space="preserve">Mover tarjeta = cambiar sección; el estado de la tarea no cambia</t>
  </si>
  <si>
    <t xml:space="preserve">Sección ≠ estado (decisión)</t>
  </si>
  <si>
    <t xml:space="preserve">F-197</t>
  </si>
  <si>
    <t xml:space="preserve">Tarjeta: título, chip prioridad, chip estado, objetivo, fecha (roja si vencida), avatar, contadores subtareas/comentarios</t>
  </si>
  <si>
    <t xml:space="preserve">Resumen de la tarea en la columna</t>
  </si>
  <si>
    <t xml:space="preserve">F-198</t>
  </si>
  <si>
    <t xml:space="preserve">Botón "+ Agregar tarea" (toolbar y pie de columna)</t>
  </si>
  <si>
    <t xml:space="preserve">Crea tarea en el tablero/sección; objetivo opcional</t>
  </si>
  <si>
    <t xml:space="preserve">F-199</t>
  </si>
  <si>
    <t xml:space="preserve">Toolbar</t>
  </si>
  <si>
    <t xml:space="preserve">Dropdown "Asignado" separado del botón Filtros</t>
  </si>
  <si>
    <t xml:space="preserve">Filtra el tablero por responsable con un clic</t>
  </si>
  <si>
    <t xml:space="preserve">Decisión del usuario: control independiente</t>
  </si>
  <si>
    <t xml:space="preserve">F-200</t>
  </si>
  <si>
    <t xml:space="preserve">Botón "Filtros: N" (chips rápidos + constructor)</t>
  </si>
  <si>
    <t xml:space="preserve">Incompletas / Solo mías / Vencidas / Sin objetivo + por estado, prioridad, fecha, objetivo</t>
  </si>
  <si>
    <t xml:space="preserve">Implementado 2026-09-10 · Cubre Asana: Filters</t>
  </si>
  <si>
    <t xml:space="preserve">F-201</t>
  </si>
  <si>
    <t xml:space="preserve">Botón "Ordenar"</t>
  </si>
  <si>
    <t xml:space="preserve">Por prioridad, fecha límite, estado, responsable, alfabético (dentro de cada sección)</t>
  </si>
  <si>
    <t xml:space="preserve">Implementado 2026-09-10 · Cubre Asana: Sort</t>
  </si>
  <si>
    <t xml:space="preserve">F-202</t>
  </si>
  <si>
    <t xml:space="preserve">Botón "Agrupar"</t>
  </si>
  <si>
    <t xml:space="preserve">Columnas por Sección (default), Estado o Responsable sin alterar las secciones</t>
  </si>
  <si>
    <t xml:space="preserve">Implementado 2026-09-10 · Cubre Asana: Group</t>
  </si>
  <si>
    <t xml:space="preserve">F-203</t>
  </si>
  <si>
    <t xml:space="preserve">Botón "Standup" (toggle)</t>
  </si>
  <si>
    <t xml:space="preserve">Entra/sale del modo Standup; también Esc</t>
  </si>
  <si>
    <t xml:space="preserve">Implementado 2026-09-10 · Diseño ronda 2 A</t>
  </si>
  <si>
    <t xml:space="preserve">F-204</t>
  </si>
  <si>
    <t xml:space="preserve">Modo Standup</t>
  </si>
  <si>
    <t xml:space="preserve">Pantalla completa sin sidebar ni topbar</t>
  </si>
  <si>
    <t xml:space="preserve">Fullscreen API; barra mínima con nombre del tablero, fecha y "N de M han hablado" + botón Salir</t>
  </si>
  <si>
    <t xml:space="preserve">Solo vista: no escribe nada</t>
  </si>
  <si>
    <t xml:space="preserve">F-205</t>
  </si>
  <si>
    <t xml:space="preserve">Rail izquierdo con pila de personas del tablero</t>
  </si>
  <si>
    <t xml:space="preserve">Un botón por miembro con avatar, nombre y "N tareas · N vencidas"; agarre ⋮⋮ para reordenar (orden local al navegador)</t>
  </si>
  <si>
    <t xml:space="preserve">F-206</t>
  </si>
  <si>
    <t xml:space="preserve">Clic en persona = filtrar Kanban a sus tareas</t>
  </si>
  <si>
    <t xml:space="preserve">Muestra solo las tareas asignadas a esa persona; secciones vacías se ocultan</t>
  </si>
  <si>
    <t xml:space="preserve">F-207</t>
  </si>
  <si>
    <t xml:space="preserve">Estado "ya habló" (check verde) al hacer clic</t>
  </si>
  <si>
    <t xml:space="preserve">La persona clicada queda marcada; la actual resaltada; clic de nuevo desmarca</t>
  </si>
  <si>
    <t xml:space="preserve">Se descarta al salir del modo</t>
  </si>
  <si>
    <t xml:space="preserve">F-208</t>
  </si>
  <si>
    <t xml:space="preserve">Kanban ampliado (+20% tipografía y tarjetas)</t>
  </si>
  <si>
    <t xml:space="preserve">Legible en proyector/TV</t>
  </si>
  <si>
    <t xml:space="preserve">Clic en tarjeta abre el panel de detalle normal</t>
  </si>
  <si>
    <t xml:space="preserve">F-209</t>
  </si>
  <si>
    <t xml:space="preserve">Campo "Prioridad" (Alta / Media / Baja)</t>
  </si>
  <si>
    <t xml:space="preserve">Chip de color editable inline y en el formulario; visible en tarjeta y fila</t>
  </si>
  <si>
    <t xml:space="preserve">Implementado 2026-09-10 · MVP #1 · cubre Asana: Priority</t>
  </si>
  <si>
    <t xml:space="preserve">F-210</t>
  </si>
  <si>
    <t xml:space="preserve">Bloque "Tableros"</t>
  </si>
  <si>
    <t xml:space="preserve">Lista de tableros donde vive la tarea con selector de sección inline + "Agregar a tablero"</t>
  </si>
  <si>
    <t xml:space="preserve">Como bloque Projects de Asana</t>
  </si>
  <si>
    <t xml:space="preserve">F-211</t>
  </si>
  <si>
    <t xml:space="preserve">Sección "Subtareas" con contador N/M</t>
  </si>
  <si>
    <t xml:space="preserve">Checklist con asignado y fecha propios; barra de progreso; contador en tarjeta</t>
  </si>
  <si>
    <t xml:space="preserve">Implementado 2026-09-10 · MVP #7 · parent_task_id · cubre Asana: Subtasks</t>
  </si>
  <si>
    <t xml:space="preserve">F-212</t>
  </si>
  <si>
    <t xml:space="preserve">Sección "Comentarios" en tareas</t>
  </si>
  <si>
    <t xml:space="preserve">Hilo de comentarios en la tarea (reusa comments + task_id); toggle Comentarios / Actividad</t>
  </si>
  <si>
    <t xml:space="preserve">Implementado 2026-09-10 · MVP #2 · cubre Asana: comentarios en tarea</t>
  </si>
  <si>
    <t xml:space="preserve">F-213</t>
  </si>
  <si>
    <t xml:space="preserve">@menciones en comentarios</t>
  </si>
  <si>
    <t xml:space="preserve">Typeahead de miembros del workspace; mención resaltada; "Se notificará a N personas"</t>
  </si>
  <si>
    <t xml:space="preserve">Implementado 2026-09-10 · MVP #2 · cubre Asana: @mention</t>
  </si>
  <si>
    <t xml:space="preserve">F-214</t>
  </si>
  <si>
    <t xml:space="preserve">Botón "⤢ Abrir" (página completa de la tarea)</t>
  </si>
  <si>
    <t xml:space="preserve">Abre la tarea en su propia URL con actividad tipo chat, seguidores y acciones Duplicar/Copiar enlace/Eliminar</t>
  </si>
  <si>
    <t xml:space="preserve">Implementado 2026-09-10 · Diseño ronda 1 D · URL compartible</t>
  </si>
  <si>
    <t xml:space="preserve">F-215</t>
  </si>
  <si>
    <t xml:space="preserve">Actividad automática en la tarea</t>
  </si>
  <si>
    <t xml:space="preserve">Eventos: cambio de prioridad, estado, sección, tablero, asignación</t>
  </si>
  <si>
    <t xml:space="preserve">En cursiva dentro del hilo</t>
  </si>
  <si>
    <t xml:space="preserve">F-216</t>
  </si>
  <si>
    <t xml:space="preserve">Emitir "tarea asignada", "tarea bloqueada", "mención en comentario"</t>
  </si>
  <si>
    <t xml:space="preserve">Aviso in-app en tiempo real (tipos ya existen) + email opcional</t>
  </si>
  <si>
    <t xml:space="preserve">Implementado 2026-09-10 · MVP #3 · plumbing ya existe</t>
  </si>
  <si>
    <t xml:space="preserve">F-217</t>
  </si>
  <si>
    <t xml:space="preserve">Mis Tareas visible para miembros (chips de filtro, orden por prioridad, panel de detalle)</t>
  </si>
  <si>
    <t xml:space="preserve">Hub personal cruzado de tableros</t>
  </si>
  <si>
    <t xml:space="preserve">Implementado 2026-09-10 · MVP #8 · cubre Asana: My tasks</t>
  </si>
  <si>
    <t xml:space="preserve">F-218</t>
  </si>
  <si>
    <t xml:space="preserve">Tab Lista</t>
  </si>
  <si>
    <t xml:space="preserve">Tabla Tarea · Prioridad · Responsable · Fecha · Estado agrupada por sección (colapsable), con filtros/orden/agrupar y edición inline</t>
  </si>
  <si>
    <t xml:space="preserve">Implementado 2026-09-11</t>
  </si>
  <si>
    <t xml:space="preserve">F-219</t>
  </si>
  <si>
    <t xml:space="preserve">Botón ⚙ Configuración del tablero</t>
  </si>
  <si>
    <t xml:space="preserve">Nombre, descripción, color, acceso (Público/Privado), miembros (agregar/quitar) y Archivar tablero</t>
  </si>
  <si>
    <t xml:space="preserve">F-220</t>
  </si>
  <si>
    <t xml:space="preserve">Formulario</t>
  </si>
  <si>
    <t xml:space="preserve">Crear tablero con acceso y miembros</t>
  </si>
  <si>
    <t xml:space="preserve">Nombre, acceso público/privado, selección de miembros del workspace; avatares de miembros en el encabezado</t>
  </si>
  <si>
    <t xml:space="preserve">F-221</t>
  </si>
  <si>
    <t xml:space="preserve">Reordenar columnas arrastrando el encabezado</t>
  </si>
  <si>
    <t xml:space="preserve">Orden guardado por usuario en profiles.preferences (cross-device)</t>
  </si>
  <si>
    <t xml:space="preserve">F-222</t>
  </si>
  <si>
    <t xml:space="preserve">Editar nombre de columna al hacer clic en el título</t>
  </si>
  <si>
    <t xml:space="preserve">Enter guarda, Esc cancela</t>
  </si>
  <si>
    <t xml:space="preserve">F-223</t>
  </si>
  <si>
    <t xml:space="preserve">Composer inline de tarea en la columna</t>
  </si>
  <si>
    <t xml:space="preserve">Tarjeta con título enfocado + chips Prioridad / Asignado / Objetivo (opcionales); Enter guarda y permite seguir agregando</t>
  </si>
  <si>
    <t xml:space="preserve">Implementado 2026-09-11 · formato Asana</t>
  </si>
  <si>
    <t xml:space="preserve">F-224</t>
  </si>
  <si>
    <t xml:space="preserve">Tarjeta</t>
  </si>
  <si>
    <t xml:space="preserve">Asignación directa desde la tarjeta</t>
  </si>
  <si>
    <t xml:space="preserve">Círculo punteado con icono de usuario si no hay asignado; clic abre dropdown de miembros</t>
  </si>
  <si>
    <t xml:space="preserve">Implementado 2026-09-11 · chip de objetivo retirado de la tarjeta</t>
  </si>
  <si>
    <t xml:space="preserve">F-225</t>
  </si>
  <si>
    <t xml:space="preserve">Editor</t>
  </si>
  <si>
    <t xml:space="preserve">Menciones como píldoras mientras se escribe</t>
  </si>
  <si>
    <t xml:space="preserve">Se muestra @Nombre resaltado; se serializa a @[Nombre](id) al guardar</t>
  </si>
  <si>
    <t xml:space="preserve">F-226</t>
  </si>
  <si>
    <t xml:space="preserve">Comentarios y actividad en tiempo real</t>
  </si>
  <si>
    <t xml:space="preserve">Suscripción realtime a comments y task_activity</t>
  </si>
  <si>
    <t xml:space="preserve">F-227</t>
  </si>
  <si>
    <t xml:space="preserve">Bloque calendario + CTA inline entre hero y secciones</t>
  </si>
  <si>
    <t xml:space="preserve">Ya no está fijo arriba</t>
  </si>
  <si>
    <t xml:space="preserve">F-228</t>
  </si>
  <si>
    <t xml:space="preserve">Guardado atómico del check-in (RPC save_checkin)</t>
  </si>
  <si>
    <t xml:space="preserve">Una transacción para checkin, objetivos, entradas, progress_logs y comentarios; try/catch con mensaje de error</t>
  </si>
  <si>
    <t xml:space="preserve">Implementado 2026-09-11 · cierra P0 de auditoría</t>
  </si>
  <si>
    <t xml:space="preserve">F-229</t>
  </si>
  <si>
    <t xml:space="preserve">Reacciones 👍 y "Responder"</t>
  </si>
  <si>
    <t xml:space="preserve">Reacción rápida y respuesta en hilo</t>
  </si>
  <si>
    <t xml:space="preserve">Fase posterior</t>
  </si>
  <si>
    <t xml:space="preserve">F-230</t>
  </si>
  <si>
    <t xml:space="preserve">Tabs Tablero / Calendario en Mis Tareas</t>
  </si>
  <si>
    <t xml:space="preserve">Vistas alternativas del hub personal</t>
  </si>
  <si>
    <t xml:space="preserve">F-231</t>
  </si>
  <si>
    <t xml:space="preserve">Tab Calendario</t>
  </si>
  <si>
    <t xml:space="preserve">Vista de calendario del tablero</t>
  </si>
  <si>
    <t xml:space="preserve">F-232</t>
  </si>
  <si>
    <t xml:space="preserve">Detalle de tarea</t>
  </si>
  <si>
    <t xml:space="preserve">Marcar completa / tipos de tarea</t>
  </si>
  <si>
    <t xml:space="preserve">Toggle de completado; tipos Tarea, Hito, Aprobación (Aprobar / Solicitar cambios / Rechazar) con "Convertir a"</t>
  </si>
  <si>
    <t xml:space="preserve">F-233</t>
  </si>
  <si>
    <t xml:space="preserve">Campo Estado personalizado</t>
  </si>
  <si>
    <t xml:space="preserve">On track / At risk / Off track / On hold como chips de color, separado de "completada"</t>
  </si>
  <si>
    <t xml:space="preserve">F-234</t>
  </si>
  <si>
    <t xml:space="preserve">Asignado (único) con typeahead</t>
  </si>
  <si>
    <t xml:space="preserve">Busca personas; tarjeta de perfil al hover (nombre, puesto, email, hora local)</t>
  </si>
  <si>
    <t xml:space="preserve">Auto-agrega a "My tasks" del asignado</t>
  </si>
  <si>
    <t xml:space="preserve">F-235</t>
  </si>
  <si>
    <t xml:space="preserve">Colaboradores / seguidores</t>
  </si>
  <si>
    <t xml:space="preserve">Lista separada del asignado que controla quién recibe notificaciones</t>
  </si>
  <si>
    <t xml:space="preserve">Vista previa "N people will be notified"</t>
  </si>
  <si>
    <t xml:space="preserve">F-236</t>
  </si>
  <si>
    <t xml:space="preserve">Fecha límite con fecha inicio, hora y recurrencia</t>
  </si>
  <si>
    <t xml:space="preserve">Selector de rango; vencida en rojo en la tarjeta</t>
  </si>
  <si>
    <t xml:space="preserve">F-237</t>
  </si>
  <si>
    <t xml:space="preserve">Dependencias "Blocked by" / "Blocking"</t>
  </si>
  <si>
    <t xml:space="preserve">Vincula tareas entre proyectos; se dibujan en Timeline</t>
  </si>
  <si>
    <t xml:space="preserve">F-238</t>
  </si>
  <si>
    <t xml:space="preserve">Multi-proyecto (multi-homing)</t>
  </si>
  <si>
    <t xml:space="preserve">Una tarea vive en N proyectos, cada uno con su selector de sección inline</t>
  </si>
  <si>
    <t xml:space="preserve">F-239</t>
  </si>
  <si>
    <t xml:space="preserve">Campos personalizados por proyecto</t>
  </si>
  <si>
    <t xml:space="preserve">Priority (High/Medium/Low), Effort (S/M/L), Responsable, Actual time con temporizador</t>
  </si>
  <si>
    <t xml:space="preserve">"Edit options" y "Auto-fill" (IA) desde el dropdown</t>
  </si>
  <si>
    <t xml:space="preserve">F-240</t>
  </si>
  <si>
    <t xml:space="preserve">Descripción rich text</t>
  </si>
  <si>
    <t xml:space="preserve">Editor con formato</t>
  </si>
  <si>
    <t xml:space="preserve">F-241</t>
  </si>
  <si>
    <t xml:space="preserve">Subtareas</t>
  </si>
  <si>
    <t xml:space="preserve">Lista inline con contador "0/1", asignado y fecha propios, detalle anidado</t>
  </si>
  <si>
    <t xml:space="preserve">F-242</t>
  </si>
  <si>
    <t xml:space="preserve">Adjuntos</t>
  </si>
  <si>
    <t xml:space="preserve">Archivos adjuntos a la tarea</t>
  </si>
  <si>
    <t xml:space="preserve">F-243</t>
  </si>
  <si>
    <t xml:space="preserve">Likes, copiar enlace, pantalla completa, banner de privacidad</t>
  </si>
  <si>
    <t xml:space="preserve">Utilidades de la cabecera del panel</t>
  </si>
  <si>
    <t xml:space="preserve">"Make public"</t>
  </si>
  <si>
    <t xml:space="preserve">F-244</t>
  </si>
  <si>
    <t xml:space="preserve">Menú "…" de tarea</t>
  </si>
  <si>
    <t xml:space="preserve">Agregar a proyecto, subtarea, tags, adjuntar, follow-up, merge duplicados, duplicar, imprimir, eliminar</t>
  </si>
  <si>
    <t xml:space="preserve">Acciones rápidas con atajos de teclado (Tab+P, Tab+S, Tab+T…)</t>
  </si>
  <si>
    <t xml:space="preserve">IA: Summarize task, Draft subtasks</t>
  </si>
  <si>
    <t xml:space="preserve">F-245</t>
  </si>
  <si>
    <t xml:space="preserve">Feed de actividad</t>
  </si>
  <si>
    <t xml:space="preserve">Toggle "Comments / All activity" + orden Oldest/Newest</t>
  </si>
  <si>
    <t xml:space="preserve">Filtra eventos de sistema vs comentarios</t>
  </si>
  <si>
    <t xml:space="preserve">Eventos: creado, renombrado (show original), asignado, campo cambiado</t>
  </si>
  <si>
    <t xml:space="preserve">F-246</t>
  </si>
  <si>
    <t xml:space="preserve">Rich text (títulos, listas, cita, código, tabla, imagen, embed, adjuntos)</t>
  </si>
  <si>
    <t xml:space="preserve">Comentarios con formato completo</t>
  </si>
  <si>
    <t xml:space="preserve">F-247</t>
  </si>
  <si>
    <t xml:space="preserve">@mención de personas, tareas y proyectos</t>
  </si>
  <si>
    <t xml:space="preserve">Typeahead en todo el workspace</t>
  </si>
  <si>
    <t xml:space="preserve">F-248</t>
  </si>
  <si>
    <t xml:space="preserve">Comentario</t>
  </si>
  <si>
    <t xml:space="preserve">Reacciones emoji, Reply en hilo, Pin to top, Edit, Copy link, Delete</t>
  </si>
  <si>
    <t xml:space="preserve">Acciones sobre cada comentario</t>
  </si>
  <si>
    <t xml:space="preserve">F-249</t>
  </si>
  <si>
    <t xml:space="preserve">IA: resumir tarea, recomendar ediciones</t>
  </si>
  <si>
    <t xml:space="preserve">Asistencia en el compositor</t>
  </si>
  <si>
    <t xml:space="preserve">F-250</t>
  </si>
  <si>
    <t xml:space="preserve">Board</t>
  </si>
  <si>
    <t xml:space="preserve">Secciones = columnas creadas por el usuario</t>
  </si>
  <si>
    <t xml:space="preserve">"Add section" inline al final; menú: rename, add before/after, collapse, hide empty, add rule, delete</t>
  </si>
  <si>
    <t xml:space="preserve">F-251</t>
  </si>
  <si>
    <t xml:space="preserve">Drag &amp; drop entre secciones y reorden de secciones</t>
  </si>
  <si>
    <t xml:space="preserve">Mover tarea = cambiar sección</t>
  </si>
  <si>
    <t xml:space="preserve">F-252</t>
  </si>
  <si>
    <t xml:space="preserve">Menú contextual de tarjeta (click derecho)</t>
  </si>
  <si>
    <t xml:space="preserve">Duplicar, follow-up, completar, subtarea, convertir, abrir en pestaña, copiar enlace, eliminar, imagen de portada</t>
  </si>
  <si>
    <t xml:space="preserve">F-253</t>
  </si>
  <si>
    <t xml:space="preserve">Tarjeta con campos configurables</t>
  </si>
  <si>
    <t xml:space="preserve">Chips (Priority), fecha, tag, avatar, contadores like/comentario/subtarea</t>
  </si>
  <si>
    <t xml:space="preserve">F-254</t>
  </si>
  <si>
    <t xml:space="preserve">Vistas</t>
  </si>
  <si>
    <t xml:space="preserve">Vistas guardadas por proyecto: List, Board, Timeline, Calendar, Dashboard</t>
  </si>
  <si>
    <t xml:space="preserve">Misma data, tabs añadibles con "+"</t>
  </si>
  <si>
    <t xml:space="preserve">List: una columna por campo, "+" agrega campo</t>
  </si>
  <si>
    <t xml:space="preserve">F-255</t>
  </si>
  <si>
    <t xml:space="preserve">Filtros rápidos + constructor apilable</t>
  </si>
  <si>
    <t xml:space="preserve">Incomplete, Completed, Just my tasks, Due this/next week; por asignado, fechas, tipo y cada campo personalizado</t>
  </si>
  <si>
    <t xml:space="preserve">F-256</t>
  </si>
  <si>
    <t xml:space="preserve">Ordenar por cualquier campo</t>
  </si>
  <si>
    <t xml:space="preserve">Fechas, asignado, likes, alfabético, cada campo personalizado</t>
  </si>
  <si>
    <t xml:space="preserve">F-257</t>
  </si>
  <si>
    <t xml:space="preserve">Agrupar por cualquier campo + subgrupo (swimlanes)</t>
  </si>
  <si>
    <t xml:space="preserve">Agrupación distinta de secciones con orden personalizado</t>
  </si>
  <si>
    <t xml:space="preserve">F-258</t>
  </si>
  <si>
    <t xml:space="preserve">Panel "Options" por vista</t>
  </si>
  <si>
    <t xml:space="preserve">Mostrar/ocultar campos, subtareas colapsadas/expandidas, nombre/icono de vista</t>
  </si>
  <si>
    <t xml:space="preserve">F-259</t>
  </si>
  <si>
    <t xml:space="preserve">Buscar en esta vista</t>
  </si>
  <si>
    <t xml:space="preserve">Búsqueda rápida</t>
  </si>
  <si>
    <t xml:space="preserve">F-260</t>
  </si>
  <si>
    <t xml:space="preserve">Customize &gt; Fields</t>
  </si>
  <si>
    <t xml:space="preserve">Tipos de campo</t>
  </si>
  <si>
    <t xml:space="preserve">Single-select, Multi-select, Date, People, Reference, Text, Number, Formula, ID, Timer, Time tracking, Rollup</t>
  </si>
  <si>
    <t xml:space="preserve">F-261</t>
  </si>
  <si>
    <t xml:space="preserve">Biblioteca de campos del workspace</t>
  </si>
  <si>
    <t xml:space="preserve">Reusar campos entre proyectos; opciones con color; reordenar; IA "Recommend fields"</t>
  </si>
  <si>
    <t xml:space="preserve">F-262</t>
  </si>
  <si>
    <t xml:space="preserve">Customize &gt; Rules</t>
  </si>
  <si>
    <t xml:space="preserve">Reglas trigger → acción</t>
  </si>
  <si>
    <t xml:space="preserve">Vencida → comentario; At risk → aviso; movida a sección → …; fecha próxima → mover</t>
  </si>
  <si>
    <t xml:space="preserve">Plantillas de reglas con IA</t>
  </si>
  <si>
    <t xml:space="preserve">F-263</t>
  </si>
  <si>
    <t xml:space="preserve">Customize</t>
  </si>
  <si>
    <t xml:space="preserve">Forms, task templates, bundles, status templates</t>
  </si>
  <si>
    <t xml:space="preserve">Intake y plantillas</t>
  </si>
  <si>
    <t xml:space="preserve">F-264</t>
  </si>
  <si>
    <t xml:space="preserve">Menú de proyecto</t>
  </si>
  <si>
    <t xml:space="preserve">Duplicar, guardar como plantilla, archivar, import/export, permisos, color e icono, set status, favorito</t>
  </si>
  <si>
    <t xml:space="preserve">Gestión del proyecto</t>
  </si>
  <si>
    <t xml:space="preserve">F-265</t>
  </si>
  <si>
    <t xml:space="preserve">My tasks / Inbox</t>
  </si>
  <si>
    <t xml:space="preserve">Vista personal cruzada de proyectos + búsquedas guardadas + Inbox</t>
  </si>
  <si>
    <t xml:space="preserve">Lista personal con secciones automáticas ("Recently assigned")</t>
  </si>
  <si>
    <t xml:space="preserve">F-266</t>
  </si>
  <si>
    <t xml:space="preserve">Widgets de conteo y gráficas</t>
  </si>
  <si>
    <t xml:space="preserve">Completadas/incompletas/vencidas, por sección, por asignado, completado en el tiempo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</si>
</sst>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F0D9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2F0D9"/>
      </patternFill>
    </fill>
    <fill>
      <patternFill patternType="solid">
        <fgColor rgb="FFF2F2F2"/>
        <bgColor rgb="FFE2F0D9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4" t="s">
        <v>4</v>
      </c>
      <c r="B3" s="3" t="s">
        <v>5</v>
      </c>
    </row>
    <row r="4" customFormat="false" ht="15" hidden="false" customHeight="false" outlineLevel="0" collapsed="false">
      <c r="A4" s="5" t="s">
        <v>6</v>
      </c>
      <c r="B4" s="3" t="s">
        <v>7</v>
      </c>
    </row>
    <row r="5" customFormat="false" ht="15" hidden="false" customHeight="false" outlineLevel="0" collapsed="false">
      <c r="A5" s="6" t="s">
        <v>8</v>
      </c>
      <c r="B5" s="3" t="s">
        <v>9</v>
      </c>
    </row>
    <row r="6" customFormat="false" ht="15" hidden="false" customHeight="false" outlineLevel="0" collapsed="false">
      <c r="A6" s="3"/>
      <c r="B6" s="3"/>
    </row>
    <row r="7" customFormat="false" ht="23.85" hidden="false" customHeight="false" outlineLevel="0" collapsed="false">
      <c r="A7" s="3" t="s">
        <v>10</v>
      </c>
      <c r="B7" s="3" t="s">
        <v>11</v>
      </c>
    </row>
    <row r="8" customFormat="false" ht="23.85" hidden="false" customHeight="false" outlineLevel="0" collapsed="false">
      <c r="A8" s="3" t="s">
        <v>12</v>
      </c>
      <c r="B8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23.85" hidden="false" customHeight="false" outlineLevel="0" collapsed="false">
      <c r="A1" s="7" t="s">
        <v>14</v>
      </c>
      <c r="B1" s="7" t="s">
        <v>15</v>
      </c>
      <c r="C1" s="7" t="s">
        <v>16</v>
      </c>
      <c r="D1" s="7" t="s">
        <v>4</v>
      </c>
      <c r="E1" s="7" t="s">
        <v>6</v>
      </c>
      <c r="F1" s="7" t="s">
        <v>17</v>
      </c>
    </row>
    <row r="2" customFormat="false" ht="23.85" hidden="false" customHeight="false" outlineLevel="0" collapsed="false">
      <c r="A2" s="8" t="s">
        <v>18</v>
      </c>
      <c r="B2" s="8" t="s">
        <v>19</v>
      </c>
      <c r="C2" s="8" t="n">
        <f aca="false">COUNTIFS(Inventario!$B:$B,$A2,Inventario!$F:$F,"Actual")</f>
        <v>11</v>
      </c>
      <c r="D2" s="8" t="n">
        <f aca="false">COUNTIFS(Inventario!$B:$B,$A2,Inventario!$F:$F,"Futuro")</f>
        <v>0</v>
      </c>
      <c r="E2" s="8" t="n">
        <f aca="false">COUNTIFS(Inventario!$B:$B,$A2,Inventario!$F:$F,"Asana ahora")</f>
        <v>0</v>
      </c>
      <c r="F2" s="8" t="n">
        <f aca="false">SUM(C2:E2)</f>
        <v>11</v>
      </c>
    </row>
    <row r="3" customFormat="false" ht="23.85" hidden="false" customHeight="false" outlineLevel="0" collapsed="false">
      <c r="A3" s="8" t="s">
        <v>20</v>
      </c>
      <c r="B3" s="8" t="s">
        <v>21</v>
      </c>
      <c r="C3" s="8" t="n">
        <f aca="false">COUNTIFS(Inventario!$B:$B,$A3,Inventario!$F:$F,"Actual")</f>
        <v>46</v>
      </c>
      <c r="D3" s="8" t="n">
        <f aca="false">COUNTIFS(Inventario!$B:$B,$A3,Inventario!$F:$F,"Futuro")</f>
        <v>0</v>
      </c>
      <c r="E3" s="8" t="n">
        <f aca="false">COUNTIFS(Inventario!$B:$B,$A3,Inventario!$F:$F,"Asana ahora")</f>
        <v>0</v>
      </c>
      <c r="F3" s="8" t="n">
        <f aca="false">SUM(C3:E3)</f>
        <v>46</v>
      </c>
    </row>
    <row r="4" customFormat="false" ht="23.85" hidden="false" customHeight="false" outlineLevel="0" collapsed="false">
      <c r="A4" s="8" t="s">
        <v>22</v>
      </c>
      <c r="B4" s="8" t="s">
        <v>23</v>
      </c>
      <c r="C4" s="8" t="n">
        <f aca="false">COUNTIFS(Inventario!$B:$B,$A4,Inventario!$F:$F,"Actual")</f>
        <v>37</v>
      </c>
      <c r="D4" s="8" t="n">
        <f aca="false">COUNTIFS(Inventario!$B:$B,$A4,Inventario!$F:$F,"Futuro")</f>
        <v>0</v>
      </c>
      <c r="E4" s="8" t="n">
        <f aca="false">COUNTIFS(Inventario!$B:$B,$A4,Inventario!$F:$F,"Asana ahora")</f>
        <v>0</v>
      </c>
      <c r="F4" s="8" t="n">
        <f aca="false">SUM(C4:E4)</f>
        <v>37</v>
      </c>
    </row>
    <row r="5" customFormat="false" ht="15" hidden="false" customHeight="false" outlineLevel="0" collapsed="false">
      <c r="A5" s="8" t="s">
        <v>24</v>
      </c>
      <c r="B5" s="8" t="s">
        <v>25</v>
      </c>
      <c r="C5" s="8" t="n">
        <f aca="false">COUNTIFS(Inventario!$B:$B,$A5,Inventario!$F:$F,"Actual")</f>
        <v>8</v>
      </c>
      <c r="D5" s="8" t="n">
        <f aca="false">COUNTIFS(Inventario!$B:$B,$A5,Inventario!$F:$F,"Futuro")</f>
        <v>0</v>
      </c>
      <c r="E5" s="8" t="n">
        <f aca="false">COUNTIFS(Inventario!$B:$B,$A5,Inventario!$F:$F,"Asana ahora")</f>
        <v>0</v>
      </c>
      <c r="F5" s="8" t="n">
        <f aca="false">SUM(C5:E5)</f>
        <v>8</v>
      </c>
    </row>
    <row r="6" customFormat="false" ht="15" hidden="false" customHeight="false" outlineLevel="0" collapsed="false">
      <c r="A6" s="8" t="s">
        <v>26</v>
      </c>
      <c r="B6" s="8" t="s">
        <v>27</v>
      </c>
      <c r="C6" s="8" t="n">
        <f aca="false">COUNTIFS(Inventario!$B:$B,$A6,Inventario!$F:$F,"Actual")</f>
        <v>9</v>
      </c>
      <c r="D6" s="8" t="n">
        <f aca="false">COUNTIFS(Inventario!$B:$B,$A6,Inventario!$F:$F,"Futuro")</f>
        <v>0</v>
      </c>
      <c r="E6" s="8" t="n">
        <f aca="false">COUNTIFS(Inventario!$B:$B,$A6,Inventario!$F:$F,"Asana ahora")</f>
        <v>0</v>
      </c>
      <c r="F6" s="8" t="n">
        <f aca="false">SUM(C6:E6)</f>
        <v>9</v>
      </c>
    </row>
    <row r="7" customFormat="false" ht="15" hidden="false" customHeight="false" outlineLevel="0" collapsed="false">
      <c r="A7" s="8" t="s">
        <v>28</v>
      </c>
      <c r="B7" s="8" t="s">
        <v>29</v>
      </c>
      <c r="C7" s="8" t="n">
        <f aca="false">COUNTIFS(Inventario!$B:$B,$A7,Inventario!$F:$F,"Actual")</f>
        <v>5</v>
      </c>
      <c r="D7" s="8" t="n">
        <f aca="false">COUNTIFS(Inventario!$B:$B,$A7,Inventario!$F:$F,"Futuro")</f>
        <v>0</v>
      </c>
      <c r="E7" s="8" t="n">
        <f aca="false">COUNTIFS(Inventario!$B:$B,$A7,Inventario!$F:$F,"Asana ahora")</f>
        <v>0</v>
      </c>
      <c r="F7" s="8" t="n">
        <f aca="false">SUM(C7:E7)</f>
        <v>5</v>
      </c>
    </row>
    <row r="8" customFormat="false" ht="15" hidden="false" customHeight="false" outlineLevel="0" collapsed="false">
      <c r="A8" s="8" t="s">
        <v>30</v>
      </c>
      <c r="B8" s="8" t="s">
        <v>31</v>
      </c>
      <c r="C8" s="8" t="n">
        <f aca="false">COUNTIFS(Inventario!$B:$B,$A8,Inventario!$F:$F,"Actual")</f>
        <v>4</v>
      </c>
      <c r="D8" s="8" t="n">
        <f aca="false">COUNTIFS(Inventario!$B:$B,$A8,Inventario!$F:$F,"Futuro")</f>
        <v>0</v>
      </c>
      <c r="E8" s="8" t="n">
        <f aca="false">COUNTIFS(Inventario!$B:$B,$A8,Inventario!$F:$F,"Asana ahora")</f>
        <v>0</v>
      </c>
      <c r="F8" s="8" t="n">
        <f aca="false">SUM(C8:E8)</f>
        <v>4</v>
      </c>
    </row>
    <row r="9" customFormat="false" ht="15" hidden="false" customHeight="false" outlineLevel="0" collapsed="false">
      <c r="A9" s="8" t="s">
        <v>32</v>
      </c>
      <c r="B9" s="8" t="s">
        <v>33</v>
      </c>
      <c r="C9" s="8" t="n">
        <f aca="false">COUNTIFS(Inventario!$B:$B,$A9,Inventario!$F:$F,"Actual")</f>
        <v>6</v>
      </c>
      <c r="D9" s="8" t="n">
        <f aca="false">COUNTIFS(Inventario!$B:$B,$A9,Inventario!$F:$F,"Futuro")</f>
        <v>0</v>
      </c>
      <c r="E9" s="8" t="n">
        <f aca="false">COUNTIFS(Inventario!$B:$B,$A9,Inventario!$F:$F,"Asana ahora")</f>
        <v>0</v>
      </c>
      <c r="F9" s="8" t="n">
        <f aca="false">SUM(C9:E9)</f>
        <v>6</v>
      </c>
    </row>
    <row r="10" customFormat="false" ht="15" hidden="false" customHeight="false" outlineLevel="0" collapsed="false">
      <c r="A10" s="8" t="s">
        <v>34</v>
      </c>
      <c r="B10" s="8" t="s">
        <v>35</v>
      </c>
      <c r="C10" s="8" t="n">
        <f aca="false">COUNTIFS(Inventario!$B:$B,$A10,Inventario!$F:$F,"Actual")</f>
        <v>16</v>
      </c>
      <c r="D10" s="8" t="n">
        <f aca="false">COUNTIFS(Inventario!$B:$B,$A10,Inventario!$F:$F,"Futuro")</f>
        <v>2</v>
      </c>
      <c r="E10" s="8" t="n">
        <f aca="false">COUNTIFS(Inventario!$B:$B,$A10,Inventario!$F:$F,"Asana ahora")</f>
        <v>0</v>
      </c>
      <c r="F10" s="8" t="n">
        <f aca="false">SUM(C10:E10)</f>
        <v>18</v>
      </c>
    </row>
    <row r="11" customFormat="false" ht="15" hidden="false" customHeight="false" outlineLevel="0" collapsed="false">
      <c r="A11" s="8" t="s">
        <v>36</v>
      </c>
      <c r="B11" s="8" t="s">
        <v>37</v>
      </c>
      <c r="C11" s="8" t="n">
        <f aca="false">COUNTIFS(Inventario!$B:$B,$A11,Inventario!$F:$F,"Actual")</f>
        <v>6</v>
      </c>
      <c r="D11" s="8" t="n">
        <f aca="false">COUNTIFS(Inventario!$B:$B,$A11,Inventario!$F:$F,"Futuro")</f>
        <v>0</v>
      </c>
      <c r="E11" s="8" t="n">
        <f aca="false">COUNTIFS(Inventario!$B:$B,$A11,Inventario!$F:$F,"Asana ahora")</f>
        <v>0</v>
      </c>
      <c r="F11" s="8" t="n">
        <f aca="false">SUM(C11:E11)</f>
        <v>6</v>
      </c>
    </row>
    <row r="12" customFormat="false" ht="15" hidden="false" customHeight="false" outlineLevel="0" collapsed="false">
      <c r="A12" s="8" t="s">
        <v>38</v>
      </c>
      <c r="B12" s="8" t="s">
        <v>39</v>
      </c>
      <c r="C12" s="8" t="n">
        <f aca="false">COUNTIFS(Inventario!$B:$B,$A12,Inventario!$F:$F,"Actual")</f>
        <v>7</v>
      </c>
      <c r="D12" s="8" t="n">
        <f aca="false">COUNTIFS(Inventario!$B:$B,$A12,Inventario!$F:$F,"Futuro")</f>
        <v>0</v>
      </c>
      <c r="E12" s="8" t="n">
        <f aca="false">COUNTIFS(Inventario!$B:$B,$A12,Inventario!$F:$F,"Asana ahora")</f>
        <v>0</v>
      </c>
      <c r="F12" s="8" t="n">
        <f aca="false">SUM(C12:E12)</f>
        <v>7</v>
      </c>
    </row>
    <row r="13" customFormat="false" ht="15" hidden="false" customHeight="false" outlineLevel="0" collapsed="false">
      <c r="A13" s="8" t="s">
        <v>40</v>
      </c>
      <c r="B13" s="8" t="s">
        <v>41</v>
      </c>
      <c r="C13" s="8" t="n">
        <f aca="false">COUNTIFS(Inventario!$B:$B,$A13,Inventario!$F:$F,"Actual")</f>
        <v>4</v>
      </c>
      <c r="D13" s="8" t="n">
        <f aca="false">COUNTIFS(Inventario!$B:$B,$A13,Inventario!$F:$F,"Futuro")</f>
        <v>0</v>
      </c>
      <c r="E13" s="8" t="n">
        <f aca="false">COUNTIFS(Inventario!$B:$B,$A13,Inventario!$F:$F,"Asana ahora")</f>
        <v>0</v>
      </c>
      <c r="F13" s="8" t="n">
        <f aca="false">SUM(C13:E13)</f>
        <v>4</v>
      </c>
    </row>
    <row r="14" customFormat="false" ht="15" hidden="false" customHeight="false" outlineLevel="0" collapsed="false">
      <c r="A14" s="8" t="s">
        <v>42</v>
      </c>
      <c r="B14" s="8" t="s">
        <v>43</v>
      </c>
      <c r="C14" s="8" t="n">
        <f aca="false">COUNTIFS(Inventario!$B:$B,$A14,Inventario!$F:$F,"Actual")</f>
        <v>3</v>
      </c>
      <c r="D14" s="8" t="n">
        <f aca="false">COUNTIFS(Inventario!$B:$B,$A14,Inventario!$F:$F,"Futuro")</f>
        <v>0</v>
      </c>
      <c r="E14" s="8" t="n">
        <f aca="false">COUNTIFS(Inventario!$B:$B,$A14,Inventario!$F:$F,"Asana ahora")</f>
        <v>0</v>
      </c>
      <c r="F14" s="8" t="n">
        <f aca="false">SUM(C14:E14)</f>
        <v>3</v>
      </c>
    </row>
    <row r="15" customFormat="false" ht="15" hidden="false" customHeight="false" outlineLevel="0" collapsed="false">
      <c r="A15" s="8" t="s">
        <v>44</v>
      </c>
      <c r="B15" s="8" t="s">
        <v>45</v>
      </c>
      <c r="C15" s="8" t="n">
        <f aca="false">COUNTIFS(Inventario!$B:$B,$A15,Inventario!$F:$F,"Actual")</f>
        <v>6</v>
      </c>
      <c r="D15" s="8" t="n">
        <f aca="false">COUNTIFS(Inventario!$B:$B,$A15,Inventario!$F:$F,"Futuro")</f>
        <v>0</v>
      </c>
      <c r="E15" s="8" t="n">
        <f aca="false">COUNTIFS(Inventario!$B:$B,$A15,Inventario!$F:$F,"Asana ahora")</f>
        <v>0</v>
      </c>
      <c r="F15" s="8" t="n">
        <f aca="false">SUM(C15:E15)</f>
        <v>6</v>
      </c>
    </row>
    <row r="16" customFormat="false" ht="15" hidden="false" customHeight="false" outlineLevel="0" collapsed="false">
      <c r="A16" s="8" t="s">
        <v>46</v>
      </c>
      <c r="B16" s="8" t="s">
        <v>47</v>
      </c>
      <c r="C16" s="8" t="n">
        <f aca="false">COUNTIFS(Inventario!$B:$B,$A16,Inventario!$F:$F,"Actual")</f>
        <v>1</v>
      </c>
      <c r="D16" s="8" t="n">
        <f aca="false">COUNTIFS(Inventario!$B:$B,$A16,Inventario!$F:$F,"Futuro")</f>
        <v>0</v>
      </c>
      <c r="E16" s="8" t="n">
        <f aca="false">COUNTIFS(Inventario!$B:$B,$A16,Inventario!$F:$F,"Asana ahora")</f>
        <v>0</v>
      </c>
      <c r="F16" s="8" t="n">
        <f aca="false">SUM(C16:E16)</f>
        <v>1</v>
      </c>
    </row>
    <row r="17" customFormat="false" ht="15" hidden="false" customHeight="false" outlineLevel="0" collapsed="false">
      <c r="A17" s="8" t="s">
        <v>48</v>
      </c>
      <c r="B17" s="8" t="s">
        <v>49</v>
      </c>
      <c r="C17" s="8" t="n">
        <f aca="false">COUNTIFS(Inventario!$B:$B,$A17,Inventario!$F:$F,"Actual")</f>
        <v>5</v>
      </c>
      <c r="D17" s="8" t="n">
        <f aca="false">COUNTIFS(Inventario!$B:$B,$A17,Inventario!$F:$F,"Futuro")</f>
        <v>0</v>
      </c>
      <c r="E17" s="8" t="n">
        <f aca="false">COUNTIFS(Inventario!$B:$B,$A17,Inventario!$F:$F,"Asana ahora")</f>
        <v>0</v>
      </c>
      <c r="F17" s="8" t="n">
        <f aca="false">SUM(C17:E17)</f>
        <v>5</v>
      </c>
    </row>
    <row r="18" customFormat="false" ht="15" hidden="false" customHeight="false" outlineLevel="0" collapsed="false">
      <c r="A18" s="8" t="s">
        <v>50</v>
      </c>
      <c r="B18" s="8" t="s">
        <v>51</v>
      </c>
      <c r="C18" s="8" t="n">
        <f aca="false">COUNTIFS(Inventario!$B:$B,$A18,Inventario!$F:$F,"Actual")</f>
        <v>5</v>
      </c>
      <c r="D18" s="8" t="n">
        <f aca="false">COUNTIFS(Inventario!$B:$B,$A18,Inventario!$F:$F,"Futuro")</f>
        <v>0</v>
      </c>
      <c r="E18" s="8" t="n">
        <f aca="false">COUNTIFS(Inventario!$B:$B,$A18,Inventario!$F:$F,"Asana ahora")</f>
        <v>0</v>
      </c>
      <c r="F18" s="8" t="n">
        <f aca="false">SUM(C18:E18)</f>
        <v>5</v>
      </c>
    </row>
    <row r="19" customFormat="false" ht="15" hidden="false" customHeight="false" outlineLevel="0" collapsed="false">
      <c r="A19" s="8" t="s">
        <v>52</v>
      </c>
      <c r="B19" s="8" t="s">
        <v>53</v>
      </c>
      <c r="C19" s="8" t="n">
        <f aca="false">COUNTIFS(Inventario!$B:$B,$A19,Inventario!$F:$F,"Actual")</f>
        <v>2</v>
      </c>
      <c r="D19" s="8" t="n">
        <f aca="false">COUNTIFS(Inventario!$B:$B,$A19,Inventario!$F:$F,"Futuro")</f>
        <v>0</v>
      </c>
      <c r="E19" s="8" t="n">
        <f aca="false">COUNTIFS(Inventario!$B:$B,$A19,Inventario!$F:$F,"Asana ahora")</f>
        <v>0</v>
      </c>
      <c r="F19" s="8" t="n">
        <f aca="false">SUM(C19:E19)</f>
        <v>2</v>
      </c>
    </row>
    <row r="20" customFormat="false" ht="15" hidden="false" customHeight="false" outlineLevel="0" collapsed="false">
      <c r="A20" s="8" t="s">
        <v>54</v>
      </c>
      <c r="B20" s="8" t="s">
        <v>55</v>
      </c>
      <c r="C20" s="8" t="n">
        <f aca="false">COUNTIFS(Inventario!$B:$B,$A20,Inventario!$F:$F,"Actual")</f>
        <v>5</v>
      </c>
      <c r="D20" s="8" t="n">
        <f aca="false">COUNTIFS(Inventario!$B:$B,$A20,Inventario!$F:$F,"Futuro")</f>
        <v>0</v>
      </c>
      <c r="E20" s="8" t="n">
        <f aca="false">COUNTIFS(Inventario!$B:$B,$A20,Inventario!$F:$F,"Asana ahora")</f>
        <v>0</v>
      </c>
      <c r="F20" s="8" t="n">
        <f aca="false">SUM(C20:E20)</f>
        <v>5</v>
      </c>
    </row>
    <row r="21" customFormat="false" ht="15" hidden="false" customHeight="false" outlineLevel="0" collapsed="false">
      <c r="A21" s="8" t="s">
        <v>56</v>
      </c>
      <c r="B21" s="8" t="s">
        <v>57</v>
      </c>
      <c r="C21" s="8" t="n">
        <f aca="false">COUNTIFS(Inventario!$B:$B,$A21,Inventario!$F:$F,"Actual")</f>
        <v>4</v>
      </c>
      <c r="D21" s="8" t="n">
        <f aca="false">COUNTIFS(Inventario!$B:$B,$A21,Inventario!$F:$F,"Futuro")</f>
        <v>0</v>
      </c>
      <c r="E21" s="8" t="n">
        <f aca="false">COUNTIFS(Inventario!$B:$B,$A21,Inventario!$F:$F,"Asana ahora")</f>
        <v>0</v>
      </c>
      <c r="F21" s="8" t="n">
        <f aca="false">SUM(C21:E21)</f>
        <v>4</v>
      </c>
    </row>
    <row r="22" customFormat="false" ht="15" hidden="false" customHeight="false" outlineLevel="0" collapsed="false">
      <c r="A22" s="8" t="s">
        <v>58</v>
      </c>
      <c r="B22" s="8" t="s">
        <v>59</v>
      </c>
      <c r="C22" s="8" t="n">
        <f aca="false">COUNTIFS(Inventario!$B:$B,$A22,Inventario!$F:$F,"Actual")</f>
        <v>1</v>
      </c>
      <c r="D22" s="8" t="n">
        <f aca="false">COUNTIFS(Inventario!$B:$B,$A22,Inventario!$F:$F,"Futuro")</f>
        <v>0</v>
      </c>
      <c r="E22" s="8" t="n">
        <f aca="false">COUNTIFS(Inventario!$B:$B,$A22,Inventario!$F:$F,"Asana ahora")</f>
        <v>0</v>
      </c>
      <c r="F22" s="8" t="n">
        <f aca="false">SUM(C22:E22)</f>
        <v>1</v>
      </c>
    </row>
    <row r="23" customFormat="false" ht="15" hidden="false" customHeight="false" outlineLevel="0" collapsed="false">
      <c r="A23" s="8" t="s">
        <v>60</v>
      </c>
      <c r="B23" s="8" t="s">
        <v>61</v>
      </c>
      <c r="C23" s="8" t="n">
        <f aca="false">COUNTIFS(Inventario!$B:$B,$A23,Inventario!$F:$F,"Actual")</f>
        <v>1</v>
      </c>
      <c r="D23" s="8" t="n">
        <f aca="false">COUNTIFS(Inventario!$B:$B,$A23,Inventario!$F:$F,"Futuro")</f>
        <v>0</v>
      </c>
      <c r="E23" s="8" t="n">
        <f aca="false">COUNTIFS(Inventario!$B:$B,$A23,Inventario!$F:$F,"Asana ahora")</f>
        <v>0</v>
      </c>
      <c r="F23" s="8" t="n">
        <f aca="false">SUM(C23:E23)</f>
        <v>1</v>
      </c>
    </row>
    <row r="24" customFormat="false" ht="15" hidden="false" customHeight="false" outlineLevel="0" collapsed="false">
      <c r="A24" s="8" t="s">
        <v>62</v>
      </c>
      <c r="B24" s="8" t="s">
        <v>63</v>
      </c>
      <c r="C24" s="8" t="n">
        <f aca="false">COUNTIFS(Inventario!$B:$B,$A24,Inventario!$F:$F,"Actual")</f>
        <v>4</v>
      </c>
      <c r="D24" s="8" t="n">
        <f aca="false">COUNTIFS(Inventario!$B:$B,$A24,Inventario!$F:$F,"Futuro")</f>
        <v>0</v>
      </c>
      <c r="E24" s="8" t="n">
        <f aca="false">COUNTIFS(Inventario!$B:$B,$A24,Inventario!$F:$F,"Asana ahora")</f>
        <v>0</v>
      </c>
      <c r="F24" s="8" t="n">
        <f aca="false">SUM(C24:E24)</f>
        <v>4</v>
      </c>
    </row>
    <row r="25" customFormat="false" ht="15" hidden="false" customHeight="false" outlineLevel="0" collapsed="false">
      <c r="A25" s="8" t="s">
        <v>64</v>
      </c>
      <c r="B25" s="8" t="s">
        <v>65</v>
      </c>
      <c r="C25" s="8" t="n">
        <f aca="false">COUNTIFS(Inventario!$B:$B,$A25,Inventario!$F:$F,"Actual")</f>
        <v>4</v>
      </c>
      <c r="D25" s="8" t="n">
        <f aca="false">COUNTIFS(Inventario!$B:$B,$A25,Inventario!$F:$F,"Futuro")</f>
        <v>0</v>
      </c>
      <c r="E25" s="8" t="n">
        <f aca="false">COUNTIFS(Inventario!$B:$B,$A25,Inventario!$F:$F,"Asana ahora")</f>
        <v>0</v>
      </c>
      <c r="F25" s="8" t="n">
        <f aca="false">SUM(C25:E25)</f>
        <v>4</v>
      </c>
    </row>
    <row r="26" customFormat="false" ht="15" hidden="false" customHeight="false" outlineLevel="0" collapsed="false">
      <c r="A26" s="8" t="s">
        <v>66</v>
      </c>
      <c r="B26" s="8" t="s">
        <v>67</v>
      </c>
      <c r="C26" s="8" t="n">
        <f aca="false">COUNTIFS(Inventario!$B:$B,$A26,Inventario!$F:$F,"Actual")</f>
        <v>5</v>
      </c>
      <c r="D26" s="8" t="n">
        <f aca="false">COUNTIFS(Inventario!$B:$B,$A26,Inventario!$F:$F,"Futuro")</f>
        <v>0</v>
      </c>
      <c r="E26" s="8" t="n">
        <f aca="false">COUNTIFS(Inventario!$B:$B,$A26,Inventario!$F:$F,"Asana ahora")</f>
        <v>0</v>
      </c>
      <c r="F26" s="8" t="n">
        <f aca="false">SUM(C26:E26)</f>
        <v>5</v>
      </c>
    </row>
    <row r="27" customFormat="false" ht="35.05" hidden="false" customHeight="false" outlineLevel="0" collapsed="false">
      <c r="A27" s="8" t="s">
        <v>68</v>
      </c>
      <c r="B27" s="8" t="s">
        <v>69</v>
      </c>
      <c r="C27" s="8" t="n">
        <f aca="false">COUNTIFS(Inventario!$B:$B,$A27,Inventario!$F:$F,"Actual")</f>
        <v>23</v>
      </c>
      <c r="D27" s="8" t="n">
        <f aca="false">COUNTIFS(Inventario!$B:$B,$A27,Inventario!$F:$F,"Futuro")</f>
        <v>1</v>
      </c>
      <c r="E27" s="8" t="n">
        <f aca="false">COUNTIFS(Inventario!$B:$B,$A27,Inventario!$F:$F,"Asana ahora")</f>
        <v>0</v>
      </c>
      <c r="F27" s="8" t="n">
        <f aca="false">SUM(C27:E27)</f>
        <v>24</v>
      </c>
    </row>
    <row r="28" customFormat="false" ht="15" hidden="false" customHeight="false" outlineLevel="0" collapsed="false">
      <c r="A28" s="8" t="s">
        <v>70</v>
      </c>
      <c r="B28" s="8" t="s">
        <v>71</v>
      </c>
      <c r="C28" s="8" t="n">
        <f aca="false">COUNTIFS(Inventario!$B:$B,$A28,Inventario!$F:$F,"Actual")</f>
        <v>0</v>
      </c>
      <c r="D28" s="8" t="n">
        <f aca="false">COUNTIFS(Inventario!$B:$B,$A28,Inventario!$F:$F,"Futuro")</f>
        <v>0</v>
      </c>
      <c r="E28" s="8" t="n">
        <f aca="false">COUNTIFS(Inventario!$B:$B,$A28,Inventario!$F:$F,"Asana ahora")</f>
        <v>13</v>
      </c>
      <c r="F28" s="8" t="n">
        <f aca="false">SUM(C28:E28)</f>
        <v>13</v>
      </c>
    </row>
    <row r="29" customFormat="false" ht="15" hidden="false" customHeight="false" outlineLevel="0" collapsed="false">
      <c r="A29" s="8" t="s">
        <v>72</v>
      </c>
      <c r="B29" s="8" t="s">
        <v>73</v>
      </c>
      <c r="C29" s="8" t="n">
        <f aca="false">COUNTIFS(Inventario!$B:$B,$A29,Inventario!$F:$F,"Actual")</f>
        <v>0</v>
      </c>
      <c r="D29" s="8" t="n">
        <f aca="false">COUNTIFS(Inventario!$B:$B,$A29,Inventario!$F:$F,"Futuro")</f>
        <v>0</v>
      </c>
      <c r="E29" s="8" t="n">
        <f aca="false">COUNTIFS(Inventario!$B:$B,$A29,Inventario!$F:$F,"Asana ahora")</f>
        <v>5</v>
      </c>
      <c r="F29" s="8" t="n">
        <f aca="false">SUM(C29:E29)</f>
        <v>5</v>
      </c>
    </row>
    <row r="30" customFormat="false" ht="15" hidden="false" customHeight="false" outlineLevel="0" collapsed="false">
      <c r="A30" s="8" t="s">
        <v>74</v>
      </c>
      <c r="B30" s="8" t="s">
        <v>75</v>
      </c>
      <c r="C30" s="8" t="n">
        <f aca="false">COUNTIFS(Inventario!$B:$B,$A30,Inventario!$F:$F,"Actual")</f>
        <v>0</v>
      </c>
      <c r="D30" s="8" t="n">
        <f aca="false">COUNTIFS(Inventario!$B:$B,$A30,Inventario!$F:$F,"Futuro")</f>
        <v>0</v>
      </c>
      <c r="E30" s="8" t="n">
        <f aca="false">COUNTIFS(Inventario!$B:$B,$A30,Inventario!$F:$F,"Asana ahora")</f>
        <v>5</v>
      </c>
      <c r="F30" s="8" t="n">
        <f aca="false">SUM(C30:E30)</f>
        <v>5</v>
      </c>
    </row>
    <row r="31" customFormat="false" ht="15" hidden="false" customHeight="false" outlineLevel="0" collapsed="false">
      <c r="A31" s="8" t="s">
        <v>76</v>
      </c>
      <c r="B31" s="8" t="s">
        <v>77</v>
      </c>
      <c r="C31" s="8" t="n">
        <f aca="false">COUNTIFS(Inventario!$B:$B,$A31,Inventario!$F:$F,"Actual")</f>
        <v>0</v>
      </c>
      <c r="D31" s="8" t="n">
        <f aca="false">COUNTIFS(Inventario!$B:$B,$A31,Inventario!$F:$F,"Futuro")</f>
        <v>0</v>
      </c>
      <c r="E31" s="8" t="n">
        <f aca="false">COUNTIFS(Inventario!$B:$B,$A31,Inventario!$F:$F,"Asana ahora")</f>
        <v>5</v>
      </c>
      <c r="F31" s="8" t="n">
        <f aca="false">SUM(C31:E31)</f>
        <v>5</v>
      </c>
    </row>
    <row r="32" customFormat="false" ht="15" hidden="false" customHeight="false" outlineLevel="0" collapsed="false">
      <c r="A32" s="8" t="s">
        <v>78</v>
      </c>
      <c r="B32" s="8" t="s">
        <v>79</v>
      </c>
      <c r="C32" s="8" t="n">
        <f aca="false">COUNTIFS(Inventario!$B:$B,$A32,Inventario!$F:$F,"Actual")</f>
        <v>0</v>
      </c>
      <c r="D32" s="8" t="n">
        <f aca="false">COUNTIFS(Inventario!$B:$B,$A32,Inventario!$F:$F,"Futuro")</f>
        <v>0</v>
      </c>
      <c r="E32" s="8" t="n">
        <f aca="false">COUNTIFS(Inventario!$B:$B,$A32,Inventario!$F:$F,"Asana ahora")</f>
        <v>2</v>
      </c>
      <c r="F32" s="8" t="n">
        <f aca="false">SUM(C32:E32)</f>
        <v>2</v>
      </c>
    </row>
    <row r="33" customFormat="false" ht="15" hidden="false" customHeight="false" outlineLevel="0" collapsed="false">
      <c r="A33" s="8" t="s">
        <v>80</v>
      </c>
      <c r="B33" s="8" t="s">
        <v>81</v>
      </c>
      <c r="C33" s="8" t="n">
        <f aca="false">COUNTIFS(Inventario!$B:$B,$A33,Inventario!$F:$F,"Actual")</f>
        <v>0</v>
      </c>
      <c r="D33" s="8" t="n">
        <f aca="false">COUNTIFS(Inventario!$B:$B,$A33,Inventario!$F:$F,"Futuro")</f>
        <v>0</v>
      </c>
      <c r="E33" s="8" t="n">
        <f aca="false">COUNTIFS(Inventario!$B:$B,$A33,Inventario!$F:$F,"Asana ahora")</f>
        <v>2</v>
      </c>
      <c r="F33" s="8" t="n">
        <f aca="false">SUM(C33:E33)</f>
        <v>2</v>
      </c>
    </row>
    <row r="34" customFormat="false" ht="15" hidden="false" customHeight="false" outlineLevel="0" collapsed="false">
      <c r="A34" s="8" t="s">
        <v>82</v>
      </c>
      <c r="B34" s="8" t="s">
        <v>83</v>
      </c>
      <c r="C34" s="8" t="n">
        <f aca="false">COUNTIFS(Inventario!$B:$B,$A34,Inventario!$F:$F,"Actual")</f>
        <v>0</v>
      </c>
      <c r="D34" s="8" t="n">
        <f aca="false">COUNTIFS(Inventario!$B:$B,$A34,Inventario!$F:$F,"Futuro")</f>
        <v>0</v>
      </c>
      <c r="E34" s="8" t="n">
        <f aca="false">COUNTIFS(Inventario!$B:$B,$A34,Inventario!$F:$F,"Asana ahora")</f>
        <v>1</v>
      </c>
      <c r="F34" s="8" t="n">
        <f aca="false">SUM(C34:E34)</f>
        <v>1</v>
      </c>
    </row>
    <row r="35" customFormat="false" ht="15" hidden="false" customHeight="false" outlineLevel="0" collapsed="false">
      <c r="A35" s="8" t="s">
        <v>84</v>
      </c>
      <c r="B35" s="8" t="s">
        <v>85</v>
      </c>
      <c r="C35" s="8" t="n">
        <f aca="false">COUNTIFS(Inventario!$B:$B,$A35,Inventario!$F:$F,"Actual")</f>
        <v>0</v>
      </c>
      <c r="D35" s="8" t="n">
        <f aca="false">COUNTIFS(Inventario!$B:$B,$A35,Inventario!$F:$F,"Futuro")</f>
        <v>0</v>
      </c>
      <c r="E35" s="8" t="n">
        <f aca="false">COUNTIFS(Inventario!$B:$B,$A35,Inventario!$F:$F,"Asana ahora")</f>
        <v>1</v>
      </c>
      <c r="F35" s="8" t="n">
        <f aca="false">SUM(C35:E35)</f>
        <v>1</v>
      </c>
    </row>
    <row r="36" customFormat="false" ht="15" hidden="false" customHeight="false" outlineLevel="0" collapsed="false">
      <c r="A36" s="8" t="s">
        <v>86</v>
      </c>
      <c r="B36" s="8" t="s">
        <v>87</v>
      </c>
      <c r="C36" s="8" t="n">
        <f aca="false">COUNTIFS(Inventario!$B:$B,$A36,Inventario!$F:$F,"Actual")</f>
        <v>0</v>
      </c>
      <c r="D36" s="8" t="n">
        <f aca="false">COUNTIFS(Inventario!$B:$B,$A36,Inventario!$F:$F,"Futuro")</f>
        <v>0</v>
      </c>
      <c r="E36" s="8" t="n">
        <f aca="false">COUNTIFS(Inventario!$B:$B,$A36,Inventario!$F:$F,"Asana ahora")</f>
        <v>1</v>
      </c>
      <c r="F36" s="8" t="n">
        <f aca="false">SUM(C36:E36)</f>
        <v>1</v>
      </c>
    </row>
    <row r="37" customFormat="false" ht="15" hidden="false" customHeight="false" outlineLevel="0" collapsed="false">
      <c r="A37" s="9" t="s">
        <v>17</v>
      </c>
      <c r="C37" s="9" t="n">
        <f aca="false">SUM(C2:C36)</f>
        <v>228</v>
      </c>
      <c r="D37" s="9" t="n">
        <f aca="false">SUM(D2:D36)</f>
        <v>3</v>
      </c>
      <c r="E37" s="9" t="n">
        <f aca="false">SUM(E2:E36)</f>
        <v>35</v>
      </c>
      <c r="F37" s="9" t="n">
        <f aca="false">SUM(F2:F36)</f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7" t="s">
        <v>88</v>
      </c>
      <c r="B1" s="7" t="s">
        <v>14</v>
      </c>
      <c r="C1" s="7" t="s">
        <v>89</v>
      </c>
      <c r="D1" s="7" t="s">
        <v>90</v>
      </c>
      <c r="E1" s="7" t="s">
        <v>91</v>
      </c>
      <c r="F1" s="7" t="s">
        <v>0</v>
      </c>
      <c r="G1" s="7" t="s">
        <v>92</v>
      </c>
      <c r="H1" s="7" t="s">
        <v>93</v>
      </c>
    </row>
    <row r="2" customFormat="false" ht="15" hidden="false" customHeight="false" outlineLevel="0" collapsed="false">
      <c r="A2" s="8" t="s">
        <v>94</v>
      </c>
      <c r="B2" s="8" t="s">
        <v>18</v>
      </c>
      <c r="C2" s="8" t="s">
        <v>95</v>
      </c>
      <c r="D2" s="8" t="s">
        <v>96</v>
      </c>
      <c r="E2" s="8" t="s">
        <v>97</v>
      </c>
      <c r="F2" s="10" t="s">
        <v>2</v>
      </c>
      <c r="G2" s="8" t="s">
        <v>98</v>
      </c>
      <c r="H2" s="8" t="s">
        <v>99</v>
      </c>
    </row>
    <row r="3" customFormat="false" ht="15" hidden="false" customHeight="false" outlineLevel="0" collapsed="false">
      <c r="A3" s="8" t="s">
        <v>100</v>
      </c>
      <c r="B3" s="8" t="s">
        <v>18</v>
      </c>
      <c r="C3" s="8" t="s">
        <v>95</v>
      </c>
      <c r="D3" s="8" t="s">
        <v>101</v>
      </c>
      <c r="E3" s="8" t="s">
        <v>102</v>
      </c>
      <c r="F3" s="10" t="s">
        <v>2</v>
      </c>
      <c r="G3" s="8" t="s">
        <v>98</v>
      </c>
      <c r="H3" s="8" t="s">
        <v>98</v>
      </c>
    </row>
    <row r="4" customFormat="false" ht="15" hidden="false" customHeight="false" outlineLevel="0" collapsed="false">
      <c r="A4" s="8" t="s">
        <v>103</v>
      </c>
      <c r="B4" s="8" t="s">
        <v>18</v>
      </c>
      <c r="C4" s="8" t="s">
        <v>95</v>
      </c>
      <c r="D4" s="8" t="s">
        <v>104</v>
      </c>
      <c r="E4" s="8" t="s">
        <v>105</v>
      </c>
      <c r="F4" s="10" t="s">
        <v>2</v>
      </c>
      <c r="G4" s="8" t="s">
        <v>98</v>
      </c>
      <c r="H4" s="8" t="s">
        <v>98</v>
      </c>
    </row>
    <row r="5" customFormat="false" ht="15" hidden="false" customHeight="false" outlineLevel="0" collapsed="false">
      <c r="A5" s="8" t="s">
        <v>106</v>
      </c>
      <c r="B5" s="8" t="s">
        <v>18</v>
      </c>
      <c r="C5" s="8" t="s">
        <v>95</v>
      </c>
      <c r="D5" s="8" t="s">
        <v>107</v>
      </c>
      <c r="E5" s="8" t="s">
        <v>108</v>
      </c>
      <c r="F5" s="10" t="s">
        <v>2</v>
      </c>
      <c r="G5" s="8" t="s">
        <v>98</v>
      </c>
      <c r="H5" s="8" t="s">
        <v>98</v>
      </c>
    </row>
    <row r="6" customFormat="false" ht="15" hidden="false" customHeight="false" outlineLevel="0" collapsed="false">
      <c r="A6" s="8" t="s">
        <v>109</v>
      </c>
      <c r="B6" s="8" t="s">
        <v>18</v>
      </c>
      <c r="C6" s="8" t="s">
        <v>95</v>
      </c>
      <c r="D6" s="8" t="s">
        <v>110</v>
      </c>
      <c r="E6" s="8" t="s">
        <v>111</v>
      </c>
      <c r="F6" s="10" t="s">
        <v>2</v>
      </c>
      <c r="G6" s="8" t="s">
        <v>98</v>
      </c>
      <c r="H6" s="8" t="s">
        <v>98</v>
      </c>
    </row>
    <row r="7" customFormat="false" ht="15" hidden="false" customHeight="false" outlineLevel="0" collapsed="false">
      <c r="A7" s="8" t="s">
        <v>112</v>
      </c>
      <c r="B7" s="8" t="s">
        <v>18</v>
      </c>
      <c r="C7" s="8" t="s">
        <v>95</v>
      </c>
      <c r="D7" s="8" t="s">
        <v>113</v>
      </c>
      <c r="E7" s="8" t="s">
        <v>114</v>
      </c>
      <c r="F7" s="10" t="s">
        <v>2</v>
      </c>
      <c r="G7" s="8" t="s">
        <v>98</v>
      </c>
      <c r="H7" s="8" t="s">
        <v>115</v>
      </c>
    </row>
    <row r="8" customFormat="false" ht="15" hidden="false" customHeight="false" outlineLevel="0" collapsed="false">
      <c r="A8" s="8" t="s">
        <v>116</v>
      </c>
      <c r="B8" s="8" t="s">
        <v>18</v>
      </c>
      <c r="C8" s="8" t="s">
        <v>95</v>
      </c>
      <c r="D8" s="8" t="s">
        <v>117</v>
      </c>
      <c r="E8" s="8" t="s">
        <v>118</v>
      </c>
      <c r="F8" s="10" t="s">
        <v>2</v>
      </c>
      <c r="G8" s="8" t="s">
        <v>98</v>
      </c>
      <c r="H8" s="8" t="s">
        <v>119</v>
      </c>
    </row>
    <row r="9" customFormat="false" ht="23.85" hidden="false" customHeight="false" outlineLevel="0" collapsed="false">
      <c r="A9" s="8" t="s">
        <v>120</v>
      </c>
      <c r="B9" s="8" t="s">
        <v>18</v>
      </c>
      <c r="C9" s="8" t="s">
        <v>95</v>
      </c>
      <c r="D9" s="8" t="s">
        <v>121</v>
      </c>
      <c r="E9" s="8" t="s">
        <v>122</v>
      </c>
      <c r="F9" s="10" t="s">
        <v>2</v>
      </c>
      <c r="G9" s="8" t="s">
        <v>98</v>
      </c>
      <c r="H9" s="8" t="s">
        <v>123</v>
      </c>
    </row>
    <row r="10" customFormat="false" ht="23.85" hidden="false" customHeight="false" outlineLevel="0" collapsed="false">
      <c r="A10" s="8" t="s">
        <v>124</v>
      </c>
      <c r="B10" s="8" t="s">
        <v>18</v>
      </c>
      <c r="C10" s="8" t="s">
        <v>95</v>
      </c>
      <c r="D10" s="8" t="s">
        <v>125</v>
      </c>
      <c r="E10" s="8" t="s">
        <v>126</v>
      </c>
      <c r="F10" s="10" t="s">
        <v>2</v>
      </c>
      <c r="G10" s="8" t="s">
        <v>98</v>
      </c>
      <c r="H10" s="8" t="s">
        <v>127</v>
      </c>
    </row>
    <row r="11" customFormat="false" ht="35.05" hidden="false" customHeight="false" outlineLevel="0" collapsed="false">
      <c r="A11" s="8" t="s">
        <v>128</v>
      </c>
      <c r="B11" s="8" t="s">
        <v>18</v>
      </c>
      <c r="C11" s="8" t="s">
        <v>95</v>
      </c>
      <c r="D11" s="8" t="s">
        <v>129</v>
      </c>
      <c r="E11" s="8" t="s">
        <v>130</v>
      </c>
      <c r="F11" s="10" t="s">
        <v>2</v>
      </c>
      <c r="G11" s="8" t="s">
        <v>98</v>
      </c>
      <c r="H11" s="8" t="s">
        <v>131</v>
      </c>
    </row>
    <row r="12" customFormat="false" ht="15" hidden="false" customHeight="false" outlineLevel="0" collapsed="false">
      <c r="A12" s="8" t="s">
        <v>132</v>
      </c>
      <c r="B12" s="8" t="s">
        <v>18</v>
      </c>
      <c r="C12" s="8" t="s">
        <v>95</v>
      </c>
      <c r="D12" s="8" t="s">
        <v>133</v>
      </c>
      <c r="E12" s="8" t="s">
        <v>134</v>
      </c>
      <c r="F12" s="10" t="s">
        <v>2</v>
      </c>
      <c r="G12" s="8" t="s">
        <v>98</v>
      </c>
      <c r="H12" s="8" t="s">
        <v>98</v>
      </c>
    </row>
    <row r="13" customFormat="false" ht="23.85" hidden="false" customHeight="false" outlineLevel="0" collapsed="false">
      <c r="A13" s="8" t="s">
        <v>135</v>
      </c>
      <c r="B13" s="8" t="s">
        <v>20</v>
      </c>
      <c r="C13" s="8" t="s">
        <v>136</v>
      </c>
      <c r="D13" s="8" t="s">
        <v>137</v>
      </c>
      <c r="E13" s="8" t="s">
        <v>138</v>
      </c>
      <c r="F13" s="10" t="s">
        <v>2</v>
      </c>
      <c r="G13" s="8" t="s">
        <v>98</v>
      </c>
      <c r="H13" s="8" t="s">
        <v>139</v>
      </c>
    </row>
    <row r="14" customFormat="false" ht="15" hidden="false" customHeight="false" outlineLevel="0" collapsed="false">
      <c r="A14" s="8" t="s">
        <v>140</v>
      </c>
      <c r="B14" s="8" t="s">
        <v>20</v>
      </c>
      <c r="C14" s="8" t="s">
        <v>136</v>
      </c>
      <c r="D14" s="8" t="s">
        <v>141</v>
      </c>
      <c r="E14" s="8" t="s">
        <v>142</v>
      </c>
      <c r="F14" s="10" t="s">
        <v>2</v>
      </c>
      <c r="G14" s="8" t="s">
        <v>98</v>
      </c>
      <c r="H14" s="8" t="s">
        <v>143</v>
      </c>
    </row>
    <row r="15" customFormat="false" ht="15" hidden="false" customHeight="false" outlineLevel="0" collapsed="false">
      <c r="A15" s="8" t="s">
        <v>144</v>
      </c>
      <c r="B15" s="8" t="s">
        <v>20</v>
      </c>
      <c r="C15" s="8" t="s">
        <v>136</v>
      </c>
      <c r="D15" s="8" t="s">
        <v>145</v>
      </c>
      <c r="E15" s="8" t="s">
        <v>146</v>
      </c>
      <c r="F15" s="10" t="s">
        <v>2</v>
      </c>
      <c r="G15" s="8" t="s">
        <v>98</v>
      </c>
      <c r="H15" s="8" t="s">
        <v>98</v>
      </c>
    </row>
    <row r="16" customFormat="false" ht="23.85" hidden="false" customHeight="false" outlineLevel="0" collapsed="false">
      <c r="A16" s="8" t="s">
        <v>147</v>
      </c>
      <c r="B16" s="8" t="s">
        <v>20</v>
      </c>
      <c r="C16" s="8" t="s">
        <v>136</v>
      </c>
      <c r="D16" s="8" t="s">
        <v>148</v>
      </c>
      <c r="E16" s="8" t="s">
        <v>149</v>
      </c>
      <c r="F16" s="10" t="s">
        <v>2</v>
      </c>
      <c r="G16" s="8" t="s">
        <v>98</v>
      </c>
      <c r="H16" s="8" t="s">
        <v>150</v>
      </c>
    </row>
    <row r="17" customFormat="false" ht="15" hidden="false" customHeight="false" outlineLevel="0" collapsed="false">
      <c r="A17" s="8" t="s">
        <v>151</v>
      </c>
      <c r="B17" s="8" t="s">
        <v>20</v>
      </c>
      <c r="C17" s="8" t="s">
        <v>136</v>
      </c>
      <c r="D17" s="8" t="s">
        <v>152</v>
      </c>
      <c r="E17" s="8" t="s">
        <v>153</v>
      </c>
      <c r="F17" s="10" t="s">
        <v>2</v>
      </c>
      <c r="G17" s="8" t="s">
        <v>98</v>
      </c>
      <c r="H17" s="8" t="s">
        <v>98</v>
      </c>
    </row>
    <row r="18" customFormat="false" ht="23.85" hidden="false" customHeight="false" outlineLevel="0" collapsed="false">
      <c r="A18" s="8" t="s">
        <v>154</v>
      </c>
      <c r="B18" s="8" t="s">
        <v>20</v>
      </c>
      <c r="C18" s="8" t="s">
        <v>136</v>
      </c>
      <c r="D18" s="8" t="s">
        <v>155</v>
      </c>
      <c r="E18" s="8" t="s">
        <v>156</v>
      </c>
      <c r="F18" s="10" t="s">
        <v>2</v>
      </c>
      <c r="G18" s="8" t="s">
        <v>98</v>
      </c>
      <c r="H18" s="8" t="s">
        <v>157</v>
      </c>
    </row>
    <row r="19" customFormat="false" ht="23.85" hidden="false" customHeight="false" outlineLevel="0" collapsed="false">
      <c r="A19" s="8" t="s">
        <v>158</v>
      </c>
      <c r="B19" s="8" t="s">
        <v>20</v>
      </c>
      <c r="C19" s="8" t="s">
        <v>136</v>
      </c>
      <c r="D19" s="8" t="s">
        <v>159</v>
      </c>
      <c r="E19" s="8" t="s">
        <v>160</v>
      </c>
      <c r="F19" s="10" t="s">
        <v>2</v>
      </c>
      <c r="G19" s="8" t="s">
        <v>98</v>
      </c>
      <c r="H19" s="8" t="s">
        <v>161</v>
      </c>
    </row>
    <row r="20" customFormat="false" ht="23.85" hidden="false" customHeight="false" outlineLevel="0" collapsed="false">
      <c r="A20" s="8" t="s">
        <v>162</v>
      </c>
      <c r="B20" s="8" t="s">
        <v>20</v>
      </c>
      <c r="C20" s="8" t="s">
        <v>163</v>
      </c>
      <c r="D20" s="8" t="s">
        <v>164</v>
      </c>
      <c r="E20" s="8" t="s">
        <v>165</v>
      </c>
      <c r="F20" s="10" t="s">
        <v>2</v>
      </c>
      <c r="G20" s="8" t="s">
        <v>98</v>
      </c>
      <c r="H20" s="8" t="s">
        <v>166</v>
      </c>
    </row>
    <row r="21" customFormat="false" ht="23.85" hidden="false" customHeight="false" outlineLevel="0" collapsed="false">
      <c r="A21" s="8" t="s">
        <v>167</v>
      </c>
      <c r="B21" s="8" t="s">
        <v>20</v>
      </c>
      <c r="C21" s="8" t="s">
        <v>163</v>
      </c>
      <c r="D21" s="8" t="s">
        <v>168</v>
      </c>
      <c r="E21" s="8" t="s">
        <v>169</v>
      </c>
      <c r="F21" s="10" t="s">
        <v>2</v>
      </c>
      <c r="G21" s="8" t="s">
        <v>98</v>
      </c>
      <c r="H21" s="8" t="s">
        <v>170</v>
      </c>
    </row>
    <row r="22" customFormat="false" ht="15" hidden="false" customHeight="false" outlineLevel="0" collapsed="false">
      <c r="A22" s="8" t="s">
        <v>171</v>
      </c>
      <c r="B22" s="8" t="s">
        <v>20</v>
      </c>
      <c r="C22" s="8" t="s">
        <v>163</v>
      </c>
      <c r="D22" s="8" t="s">
        <v>172</v>
      </c>
      <c r="E22" s="8" t="s">
        <v>173</v>
      </c>
      <c r="F22" s="10" t="s">
        <v>2</v>
      </c>
      <c r="G22" s="8" t="s">
        <v>98</v>
      </c>
      <c r="H22" s="8" t="s">
        <v>98</v>
      </c>
    </row>
    <row r="23" customFormat="false" ht="15" hidden="false" customHeight="false" outlineLevel="0" collapsed="false">
      <c r="A23" s="8" t="s">
        <v>174</v>
      </c>
      <c r="B23" s="8" t="s">
        <v>20</v>
      </c>
      <c r="C23" s="8" t="s">
        <v>163</v>
      </c>
      <c r="D23" s="8" t="s">
        <v>175</v>
      </c>
      <c r="E23" s="8" t="s">
        <v>176</v>
      </c>
      <c r="F23" s="10" t="s">
        <v>2</v>
      </c>
      <c r="G23" s="8" t="s">
        <v>98</v>
      </c>
      <c r="H23" s="8" t="s">
        <v>98</v>
      </c>
    </row>
    <row r="24" customFormat="false" ht="15" hidden="false" customHeight="false" outlineLevel="0" collapsed="false">
      <c r="A24" s="8" t="s">
        <v>177</v>
      </c>
      <c r="B24" s="8" t="s">
        <v>20</v>
      </c>
      <c r="C24" s="8" t="s">
        <v>136</v>
      </c>
      <c r="D24" s="8" t="s">
        <v>178</v>
      </c>
      <c r="E24" s="8" t="s">
        <v>179</v>
      </c>
      <c r="F24" s="10" t="s">
        <v>2</v>
      </c>
      <c r="G24" s="8" t="s">
        <v>98</v>
      </c>
      <c r="H24" s="8" t="s">
        <v>180</v>
      </c>
    </row>
    <row r="25" customFormat="false" ht="23.85" hidden="false" customHeight="false" outlineLevel="0" collapsed="false">
      <c r="A25" s="8" t="s">
        <v>181</v>
      </c>
      <c r="B25" s="8" t="s">
        <v>20</v>
      </c>
      <c r="C25" s="8" t="s">
        <v>136</v>
      </c>
      <c r="D25" s="8" t="s">
        <v>182</v>
      </c>
      <c r="E25" s="8" t="s">
        <v>183</v>
      </c>
      <c r="F25" s="10" t="s">
        <v>2</v>
      </c>
      <c r="G25" s="8" t="s">
        <v>98</v>
      </c>
      <c r="H25" s="8" t="s">
        <v>180</v>
      </c>
    </row>
    <row r="26" customFormat="false" ht="15" hidden="false" customHeight="false" outlineLevel="0" collapsed="false">
      <c r="A26" s="8" t="s">
        <v>184</v>
      </c>
      <c r="B26" s="8" t="s">
        <v>20</v>
      </c>
      <c r="C26" s="8" t="s">
        <v>136</v>
      </c>
      <c r="D26" s="8" t="s">
        <v>185</v>
      </c>
      <c r="E26" s="8" t="s">
        <v>186</v>
      </c>
      <c r="F26" s="10" t="s">
        <v>2</v>
      </c>
      <c r="G26" s="8" t="s">
        <v>98</v>
      </c>
      <c r="H26" s="8" t="s">
        <v>187</v>
      </c>
    </row>
    <row r="27" customFormat="false" ht="15" hidden="false" customHeight="false" outlineLevel="0" collapsed="false">
      <c r="A27" s="8" t="s">
        <v>188</v>
      </c>
      <c r="B27" s="8" t="s">
        <v>20</v>
      </c>
      <c r="C27" s="8" t="s">
        <v>136</v>
      </c>
      <c r="D27" s="8" t="s">
        <v>189</v>
      </c>
      <c r="E27" s="8" t="s">
        <v>190</v>
      </c>
      <c r="F27" s="10" t="s">
        <v>2</v>
      </c>
      <c r="G27" s="8" t="s">
        <v>98</v>
      </c>
      <c r="H27" s="8" t="s">
        <v>191</v>
      </c>
    </row>
    <row r="28" customFormat="false" ht="23.85" hidden="false" customHeight="false" outlineLevel="0" collapsed="false">
      <c r="A28" s="8" t="s">
        <v>192</v>
      </c>
      <c r="B28" s="8" t="s">
        <v>20</v>
      </c>
      <c r="C28" s="8" t="s">
        <v>136</v>
      </c>
      <c r="D28" s="8" t="s">
        <v>193</v>
      </c>
      <c r="E28" s="8" t="s">
        <v>194</v>
      </c>
      <c r="F28" s="10" t="s">
        <v>2</v>
      </c>
      <c r="G28" s="8" t="s">
        <v>98</v>
      </c>
      <c r="H28" s="8" t="s">
        <v>98</v>
      </c>
    </row>
    <row r="29" customFormat="false" ht="15" hidden="false" customHeight="false" outlineLevel="0" collapsed="false">
      <c r="A29" s="8" t="s">
        <v>195</v>
      </c>
      <c r="B29" s="8" t="s">
        <v>20</v>
      </c>
      <c r="C29" s="8" t="s">
        <v>136</v>
      </c>
      <c r="D29" s="8" t="s">
        <v>196</v>
      </c>
      <c r="E29" s="8" t="s">
        <v>197</v>
      </c>
      <c r="F29" s="10" t="s">
        <v>2</v>
      </c>
      <c r="G29" s="8" t="s">
        <v>98</v>
      </c>
      <c r="H29" s="8" t="s">
        <v>198</v>
      </c>
    </row>
    <row r="30" customFormat="false" ht="15" hidden="false" customHeight="false" outlineLevel="0" collapsed="false">
      <c r="A30" s="8" t="s">
        <v>199</v>
      </c>
      <c r="B30" s="8" t="s">
        <v>20</v>
      </c>
      <c r="C30" s="8" t="s">
        <v>136</v>
      </c>
      <c r="D30" s="8" t="s">
        <v>200</v>
      </c>
      <c r="E30" s="8" t="s">
        <v>201</v>
      </c>
      <c r="F30" s="10" t="s">
        <v>2</v>
      </c>
      <c r="G30" s="8" t="s">
        <v>98</v>
      </c>
      <c r="H30" s="8" t="s">
        <v>98</v>
      </c>
    </row>
    <row r="31" customFormat="false" ht="15" hidden="false" customHeight="false" outlineLevel="0" collapsed="false">
      <c r="A31" s="8" t="s">
        <v>202</v>
      </c>
      <c r="B31" s="8" t="s">
        <v>20</v>
      </c>
      <c r="C31" s="8" t="s">
        <v>136</v>
      </c>
      <c r="D31" s="8" t="s">
        <v>203</v>
      </c>
      <c r="E31" s="8" t="s">
        <v>204</v>
      </c>
      <c r="F31" s="10" t="s">
        <v>2</v>
      </c>
      <c r="G31" s="8" t="s">
        <v>98</v>
      </c>
      <c r="H31" s="8" t="s">
        <v>205</v>
      </c>
    </row>
    <row r="32" customFormat="false" ht="15" hidden="false" customHeight="false" outlineLevel="0" collapsed="false">
      <c r="A32" s="8" t="s">
        <v>206</v>
      </c>
      <c r="B32" s="8" t="s">
        <v>20</v>
      </c>
      <c r="C32" s="8" t="s">
        <v>136</v>
      </c>
      <c r="D32" s="8" t="s">
        <v>207</v>
      </c>
      <c r="E32" s="8" t="s">
        <v>208</v>
      </c>
      <c r="F32" s="10" t="s">
        <v>2</v>
      </c>
      <c r="G32" s="8" t="s">
        <v>98</v>
      </c>
      <c r="H32" s="8" t="s">
        <v>209</v>
      </c>
    </row>
    <row r="33" customFormat="false" ht="15" hidden="false" customHeight="false" outlineLevel="0" collapsed="false">
      <c r="A33" s="8" t="s">
        <v>210</v>
      </c>
      <c r="B33" s="8" t="s">
        <v>20</v>
      </c>
      <c r="C33" s="8" t="s">
        <v>136</v>
      </c>
      <c r="D33" s="8" t="s">
        <v>211</v>
      </c>
      <c r="E33" s="8" t="s">
        <v>212</v>
      </c>
      <c r="F33" s="10" t="s">
        <v>2</v>
      </c>
      <c r="G33" s="8" t="s">
        <v>98</v>
      </c>
      <c r="H33" s="8" t="s">
        <v>131</v>
      </c>
    </row>
    <row r="34" customFormat="false" ht="15" hidden="false" customHeight="false" outlineLevel="0" collapsed="false">
      <c r="A34" s="8" t="s">
        <v>213</v>
      </c>
      <c r="B34" s="8" t="s">
        <v>20</v>
      </c>
      <c r="C34" s="8" t="s">
        <v>136</v>
      </c>
      <c r="D34" s="8" t="s">
        <v>214</v>
      </c>
      <c r="E34" s="8" t="s">
        <v>215</v>
      </c>
      <c r="F34" s="10" t="s">
        <v>2</v>
      </c>
      <c r="G34" s="8" t="s">
        <v>98</v>
      </c>
      <c r="H34" s="8" t="s">
        <v>98</v>
      </c>
    </row>
    <row r="35" customFormat="false" ht="15" hidden="false" customHeight="false" outlineLevel="0" collapsed="false">
      <c r="A35" s="8" t="s">
        <v>216</v>
      </c>
      <c r="B35" s="8" t="s">
        <v>20</v>
      </c>
      <c r="C35" s="8" t="s">
        <v>136</v>
      </c>
      <c r="D35" s="8" t="s">
        <v>217</v>
      </c>
      <c r="E35" s="8" t="s">
        <v>218</v>
      </c>
      <c r="F35" s="10" t="s">
        <v>2</v>
      </c>
      <c r="G35" s="8" t="s">
        <v>98</v>
      </c>
      <c r="H35" s="8" t="s">
        <v>98</v>
      </c>
    </row>
    <row r="36" customFormat="false" ht="15" hidden="false" customHeight="false" outlineLevel="0" collapsed="false">
      <c r="A36" s="8" t="s">
        <v>219</v>
      </c>
      <c r="B36" s="8" t="s">
        <v>20</v>
      </c>
      <c r="C36" s="8" t="s">
        <v>136</v>
      </c>
      <c r="D36" s="8" t="s">
        <v>220</v>
      </c>
      <c r="E36" s="8" t="s">
        <v>221</v>
      </c>
      <c r="F36" s="10" t="s">
        <v>2</v>
      </c>
      <c r="G36" s="8" t="s">
        <v>98</v>
      </c>
      <c r="H36" s="8" t="s">
        <v>222</v>
      </c>
    </row>
    <row r="37" customFormat="false" ht="15" hidden="false" customHeight="false" outlineLevel="0" collapsed="false">
      <c r="A37" s="8" t="s">
        <v>223</v>
      </c>
      <c r="B37" s="8" t="s">
        <v>20</v>
      </c>
      <c r="C37" s="8" t="s">
        <v>136</v>
      </c>
      <c r="D37" s="8" t="s">
        <v>224</v>
      </c>
      <c r="E37" s="8" t="s">
        <v>225</v>
      </c>
      <c r="F37" s="10" t="s">
        <v>2</v>
      </c>
      <c r="G37" s="8" t="s">
        <v>98</v>
      </c>
      <c r="H37" s="8" t="s">
        <v>98</v>
      </c>
    </row>
    <row r="38" customFormat="false" ht="15" hidden="false" customHeight="false" outlineLevel="0" collapsed="false">
      <c r="A38" s="8" t="s">
        <v>226</v>
      </c>
      <c r="B38" s="8" t="s">
        <v>20</v>
      </c>
      <c r="C38" s="8" t="s">
        <v>136</v>
      </c>
      <c r="D38" s="8" t="s">
        <v>227</v>
      </c>
      <c r="E38" s="8" t="s">
        <v>228</v>
      </c>
      <c r="F38" s="10" t="s">
        <v>2</v>
      </c>
      <c r="G38" s="8" t="s">
        <v>98</v>
      </c>
      <c r="H38" s="8" t="s">
        <v>98</v>
      </c>
    </row>
    <row r="39" customFormat="false" ht="15" hidden="false" customHeight="false" outlineLevel="0" collapsed="false">
      <c r="A39" s="8" t="s">
        <v>229</v>
      </c>
      <c r="B39" s="8" t="s">
        <v>20</v>
      </c>
      <c r="C39" s="8" t="s">
        <v>136</v>
      </c>
      <c r="D39" s="8" t="s">
        <v>230</v>
      </c>
      <c r="E39" s="8" t="s">
        <v>231</v>
      </c>
      <c r="F39" s="10" t="s">
        <v>2</v>
      </c>
      <c r="G39" s="8" t="s">
        <v>98</v>
      </c>
      <c r="H39" s="8" t="s">
        <v>232</v>
      </c>
    </row>
    <row r="40" customFormat="false" ht="15" hidden="false" customHeight="false" outlineLevel="0" collapsed="false">
      <c r="A40" s="8" t="s">
        <v>233</v>
      </c>
      <c r="B40" s="8" t="s">
        <v>20</v>
      </c>
      <c r="C40" s="8" t="s">
        <v>136</v>
      </c>
      <c r="D40" s="8" t="s">
        <v>234</v>
      </c>
      <c r="E40" s="8" t="s">
        <v>235</v>
      </c>
      <c r="F40" s="10" t="s">
        <v>2</v>
      </c>
      <c r="G40" s="8" t="s">
        <v>98</v>
      </c>
      <c r="H40" s="8" t="s">
        <v>98</v>
      </c>
    </row>
    <row r="41" customFormat="false" ht="15" hidden="false" customHeight="false" outlineLevel="0" collapsed="false">
      <c r="A41" s="8" t="s">
        <v>236</v>
      </c>
      <c r="B41" s="8" t="s">
        <v>20</v>
      </c>
      <c r="C41" s="8" t="s">
        <v>237</v>
      </c>
      <c r="D41" s="8" t="s">
        <v>238</v>
      </c>
      <c r="E41" s="8" t="s">
        <v>239</v>
      </c>
      <c r="F41" s="10" t="s">
        <v>2</v>
      </c>
      <c r="G41" s="8" t="s">
        <v>98</v>
      </c>
      <c r="H41" s="8" t="s">
        <v>98</v>
      </c>
    </row>
    <row r="42" customFormat="false" ht="23.85" hidden="false" customHeight="false" outlineLevel="0" collapsed="false">
      <c r="A42" s="8" t="s">
        <v>240</v>
      </c>
      <c r="B42" s="8" t="s">
        <v>20</v>
      </c>
      <c r="C42" s="8" t="s">
        <v>237</v>
      </c>
      <c r="D42" s="8" t="s">
        <v>241</v>
      </c>
      <c r="E42" s="8" t="s">
        <v>242</v>
      </c>
      <c r="F42" s="10" t="s">
        <v>2</v>
      </c>
      <c r="G42" s="8" t="s">
        <v>98</v>
      </c>
      <c r="H42" s="8" t="s">
        <v>243</v>
      </c>
    </row>
    <row r="43" customFormat="false" ht="15" hidden="false" customHeight="false" outlineLevel="0" collapsed="false">
      <c r="A43" s="8" t="s">
        <v>244</v>
      </c>
      <c r="B43" s="8" t="s">
        <v>20</v>
      </c>
      <c r="C43" s="8" t="s">
        <v>237</v>
      </c>
      <c r="D43" s="8" t="s">
        <v>245</v>
      </c>
      <c r="E43" s="8" t="s">
        <v>246</v>
      </c>
      <c r="F43" s="10" t="s">
        <v>2</v>
      </c>
      <c r="G43" s="8" t="s">
        <v>98</v>
      </c>
      <c r="H43" s="8" t="s">
        <v>98</v>
      </c>
    </row>
    <row r="44" customFormat="false" ht="15" hidden="false" customHeight="false" outlineLevel="0" collapsed="false">
      <c r="A44" s="8" t="s">
        <v>247</v>
      </c>
      <c r="B44" s="8" t="s">
        <v>20</v>
      </c>
      <c r="C44" s="8" t="s">
        <v>237</v>
      </c>
      <c r="D44" s="8" t="s">
        <v>248</v>
      </c>
      <c r="E44" s="8" t="s">
        <v>249</v>
      </c>
      <c r="F44" s="10" t="s">
        <v>2</v>
      </c>
      <c r="G44" s="8" t="s">
        <v>98</v>
      </c>
      <c r="H44" s="8" t="s">
        <v>98</v>
      </c>
    </row>
    <row r="45" customFormat="false" ht="15" hidden="false" customHeight="false" outlineLevel="0" collapsed="false">
      <c r="A45" s="8" t="s">
        <v>250</v>
      </c>
      <c r="B45" s="8" t="s">
        <v>20</v>
      </c>
      <c r="C45" s="8" t="s">
        <v>237</v>
      </c>
      <c r="D45" s="8" t="s">
        <v>251</v>
      </c>
      <c r="E45" s="8" t="s">
        <v>252</v>
      </c>
      <c r="F45" s="10" t="s">
        <v>2</v>
      </c>
      <c r="G45" s="8" t="s">
        <v>98</v>
      </c>
      <c r="H45" s="8" t="s">
        <v>253</v>
      </c>
    </row>
    <row r="46" customFormat="false" ht="15" hidden="false" customHeight="false" outlineLevel="0" collapsed="false">
      <c r="A46" s="8" t="s">
        <v>254</v>
      </c>
      <c r="B46" s="8" t="s">
        <v>20</v>
      </c>
      <c r="C46" s="8" t="s">
        <v>237</v>
      </c>
      <c r="D46" s="8" t="s">
        <v>255</v>
      </c>
      <c r="E46" s="8" t="s">
        <v>256</v>
      </c>
      <c r="F46" s="10" t="s">
        <v>2</v>
      </c>
      <c r="G46" s="8" t="s">
        <v>98</v>
      </c>
      <c r="H46" s="8" t="s">
        <v>257</v>
      </c>
    </row>
    <row r="47" customFormat="false" ht="15" hidden="false" customHeight="false" outlineLevel="0" collapsed="false">
      <c r="A47" s="8" t="s">
        <v>258</v>
      </c>
      <c r="B47" s="8" t="s">
        <v>20</v>
      </c>
      <c r="C47" s="8" t="s">
        <v>259</v>
      </c>
      <c r="D47" s="8" t="s">
        <v>260</v>
      </c>
      <c r="E47" s="8" t="s">
        <v>261</v>
      </c>
      <c r="F47" s="10" t="s">
        <v>2</v>
      </c>
      <c r="G47" s="8" t="s">
        <v>98</v>
      </c>
      <c r="H47" s="8" t="s">
        <v>262</v>
      </c>
    </row>
    <row r="48" customFormat="false" ht="23.85" hidden="false" customHeight="false" outlineLevel="0" collapsed="false">
      <c r="A48" s="8" t="s">
        <v>263</v>
      </c>
      <c r="B48" s="8" t="s">
        <v>20</v>
      </c>
      <c r="C48" s="8" t="s">
        <v>259</v>
      </c>
      <c r="D48" s="8" t="s">
        <v>264</v>
      </c>
      <c r="E48" s="8" t="s">
        <v>265</v>
      </c>
      <c r="F48" s="10" t="s">
        <v>2</v>
      </c>
      <c r="G48" s="8" t="s">
        <v>98</v>
      </c>
      <c r="H48" s="8" t="s">
        <v>266</v>
      </c>
    </row>
    <row r="49" customFormat="false" ht="15" hidden="false" customHeight="false" outlineLevel="0" collapsed="false">
      <c r="A49" s="8" t="s">
        <v>267</v>
      </c>
      <c r="B49" s="8" t="s">
        <v>20</v>
      </c>
      <c r="C49" s="8" t="s">
        <v>259</v>
      </c>
      <c r="D49" s="8" t="s">
        <v>268</v>
      </c>
      <c r="E49" s="8" t="s">
        <v>269</v>
      </c>
      <c r="F49" s="10" t="s">
        <v>2</v>
      </c>
      <c r="G49" s="8" t="s">
        <v>98</v>
      </c>
      <c r="H49" s="8" t="s">
        <v>98</v>
      </c>
    </row>
    <row r="50" customFormat="false" ht="23.85" hidden="false" customHeight="false" outlineLevel="0" collapsed="false">
      <c r="A50" s="8" t="s">
        <v>270</v>
      </c>
      <c r="B50" s="8" t="s">
        <v>20</v>
      </c>
      <c r="C50" s="8" t="s">
        <v>259</v>
      </c>
      <c r="D50" s="8" t="s">
        <v>271</v>
      </c>
      <c r="E50" s="8" t="s">
        <v>272</v>
      </c>
      <c r="F50" s="10" t="s">
        <v>2</v>
      </c>
      <c r="G50" s="8" t="s">
        <v>98</v>
      </c>
      <c r="H50" s="8" t="s">
        <v>273</v>
      </c>
    </row>
    <row r="51" customFormat="false" ht="15" hidden="false" customHeight="false" outlineLevel="0" collapsed="false">
      <c r="A51" s="8" t="s">
        <v>274</v>
      </c>
      <c r="B51" s="8" t="s">
        <v>20</v>
      </c>
      <c r="C51" s="8" t="s">
        <v>259</v>
      </c>
      <c r="D51" s="8" t="s">
        <v>275</v>
      </c>
      <c r="E51" s="8" t="s">
        <v>276</v>
      </c>
      <c r="F51" s="10" t="s">
        <v>2</v>
      </c>
      <c r="G51" s="8" t="s">
        <v>98</v>
      </c>
      <c r="H51" s="8" t="s">
        <v>98</v>
      </c>
    </row>
    <row r="52" customFormat="false" ht="15" hidden="false" customHeight="false" outlineLevel="0" collapsed="false">
      <c r="A52" s="8" t="s">
        <v>277</v>
      </c>
      <c r="B52" s="8" t="s">
        <v>20</v>
      </c>
      <c r="C52" s="8" t="s">
        <v>136</v>
      </c>
      <c r="D52" s="8" t="s">
        <v>278</v>
      </c>
      <c r="E52" s="8" t="s">
        <v>279</v>
      </c>
      <c r="F52" s="10" t="s">
        <v>2</v>
      </c>
      <c r="G52" s="8" t="s">
        <v>98</v>
      </c>
      <c r="H52" s="8" t="s">
        <v>98</v>
      </c>
    </row>
    <row r="53" customFormat="false" ht="23.85" hidden="false" customHeight="false" outlineLevel="0" collapsed="false">
      <c r="A53" s="8" t="s">
        <v>280</v>
      </c>
      <c r="B53" s="8" t="s">
        <v>20</v>
      </c>
      <c r="C53" s="8" t="s">
        <v>136</v>
      </c>
      <c r="D53" s="8" t="s">
        <v>281</v>
      </c>
      <c r="E53" s="8" t="s">
        <v>282</v>
      </c>
      <c r="F53" s="10" t="s">
        <v>2</v>
      </c>
      <c r="G53" s="8" t="s">
        <v>98</v>
      </c>
      <c r="H53" s="8" t="s">
        <v>98</v>
      </c>
    </row>
    <row r="54" customFormat="false" ht="23.85" hidden="false" customHeight="false" outlineLevel="0" collapsed="false">
      <c r="A54" s="8" t="s">
        <v>283</v>
      </c>
      <c r="B54" s="8" t="s">
        <v>20</v>
      </c>
      <c r="C54" s="8" t="s">
        <v>284</v>
      </c>
      <c r="D54" s="8" t="s">
        <v>285</v>
      </c>
      <c r="E54" s="8" t="s">
        <v>286</v>
      </c>
      <c r="F54" s="10" t="s">
        <v>2</v>
      </c>
      <c r="G54" s="8" t="s">
        <v>98</v>
      </c>
      <c r="H54" s="8" t="s">
        <v>98</v>
      </c>
    </row>
    <row r="55" customFormat="false" ht="15" hidden="false" customHeight="false" outlineLevel="0" collapsed="false">
      <c r="A55" s="8" t="s">
        <v>287</v>
      </c>
      <c r="B55" s="8" t="s">
        <v>20</v>
      </c>
      <c r="C55" s="8" t="s">
        <v>288</v>
      </c>
      <c r="D55" s="8" t="s">
        <v>289</v>
      </c>
      <c r="E55" s="8" t="s">
        <v>290</v>
      </c>
      <c r="F55" s="10" t="s">
        <v>2</v>
      </c>
      <c r="G55" s="8" t="s">
        <v>291</v>
      </c>
      <c r="H55" s="8" t="s">
        <v>292</v>
      </c>
    </row>
    <row r="56" customFormat="false" ht="15" hidden="false" customHeight="false" outlineLevel="0" collapsed="false">
      <c r="A56" s="8" t="s">
        <v>293</v>
      </c>
      <c r="B56" s="8" t="s">
        <v>20</v>
      </c>
      <c r="C56" s="8" t="s">
        <v>136</v>
      </c>
      <c r="D56" s="8" t="s">
        <v>294</v>
      </c>
      <c r="E56" s="8" t="s">
        <v>295</v>
      </c>
      <c r="F56" s="10" t="s">
        <v>2</v>
      </c>
      <c r="G56" s="8" t="s">
        <v>98</v>
      </c>
      <c r="H56" s="8" t="s">
        <v>98</v>
      </c>
    </row>
    <row r="57" customFormat="false" ht="23.85" hidden="false" customHeight="false" outlineLevel="0" collapsed="false">
      <c r="A57" s="8" t="s">
        <v>296</v>
      </c>
      <c r="B57" s="8" t="s">
        <v>22</v>
      </c>
      <c r="C57" s="8" t="s">
        <v>163</v>
      </c>
      <c r="D57" s="8" t="s">
        <v>297</v>
      </c>
      <c r="E57" s="8" t="s">
        <v>298</v>
      </c>
      <c r="F57" s="10" t="s">
        <v>2</v>
      </c>
      <c r="G57" s="8" t="s">
        <v>98</v>
      </c>
      <c r="H57" s="8" t="s">
        <v>98</v>
      </c>
    </row>
    <row r="58" customFormat="false" ht="23.85" hidden="false" customHeight="false" outlineLevel="0" collapsed="false">
      <c r="A58" s="8" t="s">
        <v>299</v>
      </c>
      <c r="B58" s="8" t="s">
        <v>22</v>
      </c>
      <c r="C58" s="8" t="s">
        <v>163</v>
      </c>
      <c r="D58" s="8" t="s">
        <v>300</v>
      </c>
      <c r="E58" s="8" t="s">
        <v>301</v>
      </c>
      <c r="F58" s="10" t="s">
        <v>2</v>
      </c>
      <c r="G58" s="8" t="s">
        <v>98</v>
      </c>
      <c r="H58" s="8" t="s">
        <v>302</v>
      </c>
    </row>
    <row r="59" customFormat="false" ht="23.85" hidden="false" customHeight="false" outlineLevel="0" collapsed="false">
      <c r="A59" s="8" t="s">
        <v>303</v>
      </c>
      <c r="B59" s="8" t="s">
        <v>22</v>
      </c>
      <c r="C59" s="8" t="s">
        <v>163</v>
      </c>
      <c r="D59" s="8" t="s">
        <v>304</v>
      </c>
      <c r="E59" s="8" t="s">
        <v>305</v>
      </c>
      <c r="F59" s="10" t="s">
        <v>2</v>
      </c>
      <c r="G59" s="8" t="s">
        <v>98</v>
      </c>
      <c r="H59" s="8" t="s">
        <v>98</v>
      </c>
    </row>
    <row r="60" customFormat="false" ht="15" hidden="false" customHeight="false" outlineLevel="0" collapsed="false">
      <c r="A60" s="8" t="s">
        <v>306</v>
      </c>
      <c r="B60" s="8" t="s">
        <v>22</v>
      </c>
      <c r="C60" s="8" t="s">
        <v>163</v>
      </c>
      <c r="D60" s="8" t="s">
        <v>307</v>
      </c>
      <c r="E60" s="8" t="s">
        <v>308</v>
      </c>
      <c r="F60" s="10" t="s">
        <v>2</v>
      </c>
      <c r="G60" s="8" t="s">
        <v>98</v>
      </c>
      <c r="H60" s="8" t="s">
        <v>98</v>
      </c>
    </row>
    <row r="61" customFormat="false" ht="15" hidden="false" customHeight="false" outlineLevel="0" collapsed="false">
      <c r="A61" s="8" t="s">
        <v>309</v>
      </c>
      <c r="B61" s="8" t="s">
        <v>22</v>
      </c>
      <c r="C61" s="8" t="s">
        <v>163</v>
      </c>
      <c r="D61" s="8" t="s">
        <v>310</v>
      </c>
      <c r="E61" s="8" t="s">
        <v>311</v>
      </c>
      <c r="F61" s="10" t="s">
        <v>2</v>
      </c>
      <c r="G61" s="8" t="s">
        <v>291</v>
      </c>
      <c r="H61" s="8" t="s">
        <v>312</v>
      </c>
    </row>
    <row r="62" customFormat="false" ht="15" hidden="false" customHeight="false" outlineLevel="0" collapsed="false">
      <c r="A62" s="8" t="s">
        <v>313</v>
      </c>
      <c r="B62" s="8" t="s">
        <v>22</v>
      </c>
      <c r="C62" s="8" t="s">
        <v>163</v>
      </c>
      <c r="D62" s="8" t="s">
        <v>314</v>
      </c>
      <c r="E62" s="8" t="s">
        <v>315</v>
      </c>
      <c r="F62" s="10" t="s">
        <v>2</v>
      </c>
      <c r="G62" s="8" t="s">
        <v>98</v>
      </c>
      <c r="H62" s="8" t="s">
        <v>316</v>
      </c>
    </row>
    <row r="63" customFormat="false" ht="23.85" hidden="false" customHeight="false" outlineLevel="0" collapsed="false">
      <c r="A63" s="8" t="s">
        <v>317</v>
      </c>
      <c r="B63" s="8" t="s">
        <v>22</v>
      </c>
      <c r="C63" s="8" t="s">
        <v>318</v>
      </c>
      <c r="D63" s="8" t="s">
        <v>319</v>
      </c>
      <c r="E63" s="8" t="s">
        <v>320</v>
      </c>
      <c r="F63" s="10" t="s">
        <v>2</v>
      </c>
      <c r="G63" s="8" t="s">
        <v>98</v>
      </c>
      <c r="H63" s="8" t="s">
        <v>98</v>
      </c>
    </row>
    <row r="64" customFormat="false" ht="15" hidden="false" customHeight="false" outlineLevel="0" collapsed="false">
      <c r="A64" s="8" t="s">
        <v>321</v>
      </c>
      <c r="B64" s="8" t="s">
        <v>22</v>
      </c>
      <c r="C64" s="8" t="s">
        <v>322</v>
      </c>
      <c r="D64" s="8" t="s">
        <v>323</v>
      </c>
      <c r="E64" s="8" t="s">
        <v>324</v>
      </c>
      <c r="F64" s="10" t="s">
        <v>2</v>
      </c>
      <c r="G64" s="8" t="s">
        <v>98</v>
      </c>
      <c r="H64" s="8" t="s">
        <v>98</v>
      </c>
    </row>
    <row r="65" customFormat="false" ht="15" hidden="false" customHeight="false" outlineLevel="0" collapsed="false">
      <c r="A65" s="8" t="s">
        <v>325</v>
      </c>
      <c r="B65" s="8" t="s">
        <v>22</v>
      </c>
      <c r="C65" s="8" t="s">
        <v>322</v>
      </c>
      <c r="D65" s="8" t="s">
        <v>326</v>
      </c>
      <c r="E65" s="8" t="s">
        <v>327</v>
      </c>
      <c r="F65" s="10" t="s">
        <v>2</v>
      </c>
      <c r="G65" s="8" t="s">
        <v>98</v>
      </c>
      <c r="H65" s="8" t="s">
        <v>328</v>
      </c>
    </row>
    <row r="66" customFormat="false" ht="15" hidden="false" customHeight="false" outlineLevel="0" collapsed="false">
      <c r="A66" s="8" t="s">
        <v>329</v>
      </c>
      <c r="B66" s="8" t="s">
        <v>22</v>
      </c>
      <c r="C66" s="8" t="s">
        <v>322</v>
      </c>
      <c r="D66" s="8" t="s">
        <v>330</v>
      </c>
      <c r="E66" s="8" t="s">
        <v>331</v>
      </c>
      <c r="F66" s="10" t="s">
        <v>2</v>
      </c>
      <c r="G66" s="8" t="s">
        <v>98</v>
      </c>
      <c r="H66" s="8" t="s">
        <v>332</v>
      </c>
    </row>
    <row r="67" customFormat="false" ht="23.85" hidden="false" customHeight="false" outlineLevel="0" collapsed="false">
      <c r="A67" s="8" t="s">
        <v>333</v>
      </c>
      <c r="B67" s="8" t="s">
        <v>22</v>
      </c>
      <c r="C67" s="8" t="s">
        <v>322</v>
      </c>
      <c r="D67" s="8" t="s">
        <v>334</v>
      </c>
      <c r="E67" s="8" t="s">
        <v>335</v>
      </c>
      <c r="F67" s="10" t="s">
        <v>2</v>
      </c>
      <c r="G67" s="8" t="s">
        <v>98</v>
      </c>
      <c r="H67" s="8" t="s">
        <v>98</v>
      </c>
    </row>
    <row r="68" customFormat="false" ht="23.85" hidden="false" customHeight="false" outlineLevel="0" collapsed="false">
      <c r="A68" s="8" t="s">
        <v>336</v>
      </c>
      <c r="B68" s="8" t="s">
        <v>22</v>
      </c>
      <c r="C68" s="8" t="s">
        <v>322</v>
      </c>
      <c r="D68" s="8" t="s">
        <v>337</v>
      </c>
      <c r="E68" s="8" t="s">
        <v>338</v>
      </c>
      <c r="F68" s="10" t="s">
        <v>2</v>
      </c>
      <c r="G68" s="8" t="s">
        <v>98</v>
      </c>
      <c r="H68" s="8" t="s">
        <v>339</v>
      </c>
    </row>
    <row r="69" customFormat="false" ht="15" hidden="false" customHeight="false" outlineLevel="0" collapsed="false">
      <c r="A69" s="8" t="s">
        <v>340</v>
      </c>
      <c r="B69" s="8" t="s">
        <v>22</v>
      </c>
      <c r="C69" s="8" t="s">
        <v>322</v>
      </c>
      <c r="D69" s="8" t="s">
        <v>341</v>
      </c>
      <c r="E69" s="8" t="s">
        <v>342</v>
      </c>
      <c r="F69" s="10" t="s">
        <v>2</v>
      </c>
      <c r="G69" s="8" t="s">
        <v>98</v>
      </c>
      <c r="H69" s="8" t="s">
        <v>343</v>
      </c>
    </row>
    <row r="70" customFormat="false" ht="15" hidden="false" customHeight="false" outlineLevel="0" collapsed="false">
      <c r="A70" s="8" t="s">
        <v>344</v>
      </c>
      <c r="B70" s="8" t="s">
        <v>22</v>
      </c>
      <c r="C70" s="8" t="s">
        <v>322</v>
      </c>
      <c r="D70" s="8" t="s">
        <v>345</v>
      </c>
      <c r="E70" s="8" t="s">
        <v>346</v>
      </c>
      <c r="F70" s="10" t="s">
        <v>2</v>
      </c>
      <c r="G70" s="8" t="s">
        <v>347</v>
      </c>
      <c r="H70" s="8" t="s">
        <v>98</v>
      </c>
    </row>
    <row r="71" customFormat="false" ht="23.85" hidden="false" customHeight="false" outlineLevel="0" collapsed="false">
      <c r="A71" s="8" t="s">
        <v>348</v>
      </c>
      <c r="B71" s="8" t="s">
        <v>22</v>
      </c>
      <c r="C71" s="8" t="s">
        <v>322</v>
      </c>
      <c r="D71" s="8" t="s">
        <v>349</v>
      </c>
      <c r="E71" s="8" t="s">
        <v>350</v>
      </c>
      <c r="F71" s="10" t="s">
        <v>2</v>
      </c>
      <c r="G71" s="8" t="s">
        <v>98</v>
      </c>
      <c r="H71" s="8" t="s">
        <v>98</v>
      </c>
    </row>
    <row r="72" customFormat="false" ht="15" hidden="false" customHeight="false" outlineLevel="0" collapsed="false">
      <c r="A72" s="8" t="s">
        <v>351</v>
      </c>
      <c r="B72" s="8" t="s">
        <v>22</v>
      </c>
      <c r="C72" s="8" t="s">
        <v>322</v>
      </c>
      <c r="D72" s="8" t="s">
        <v>352</v>
      </c>
      <c r="E72" s="8" t="s">
        <v>353</v>
      </c>
      <c r="F72" s="10" t="s">
        <v>2</v>
      </c>
      <c r="G72" s="8" t="s">
        <v>98</v>
      </c>
      <c r="H72" s="8" t="s">
        <v>98</v>
      </c>
    </row>
    <row r="73" customFormat="false" ht="15" hidden="false" customHeight="false" outlineLevel="0" collapsed="false">
      <c r="A73" s="8" t="s">
        <v>354</v>
      </c>
      <c r="B73" s="8" t="s">
        <v>22</v>
      </c>
      <c r="C73" s="8" t="s">
        <v>322</v>
      </c>
      <c r="D73" s="8" t="s">
        <v>355</v>
      </c>
      <c r="E73" s="8" t="s">
        <v>356</v>
      </c>
      <c r="F73" s="10" t="s">
        <v>2</v>
      </c>
      <c r="G73" s="8" t="s">
        <v>98</v>
      </c>
      <c r="H73" s="8" t="s">
        <v>98</v>
      </c>
    </row>
    <row r="74" customFormat="false" ht="15" hidden="false" customHeight="false" outlineLevel="0" collapsed="false">
      <c r="A74" s="8" t="s">
        <v>357</v>
      </c>
      <c r="B74" s="8" t="s">
        <v>22</v>
      </c>
      <c r="C74" s="8" t="s">
        <v>322</v>
      </c>
      <c r="D74" s="8" t="s">
        <v>358</v>
      </c>
      <c r="E74" s="8" t="s">
        <v>359</v>
      </c>
      <c r="F74" s="10" t="s">
        <v>2</v>
      </c>
      <c r="G74" s="8" t="s">
        <v>98</v>
      </c>
      <c r="H74" s="8" t="s">
        <v>98</v>
      </c>
    </row>
    <row r="75" customFormat="false" ht="15" hidden="false" customHeight="false" outlineLevel="0" collapsed="false">
      <c r="A75" s="8" t="s">
        <v>360</v>
      </c>
      <c r="B75" s="8" t="s">
        <v>22</v>
      </c>
      <c r="C75" s="8" t="s">
        <v>322</v>
      </c>
      <c r="D75" s="8" t="s">
        <v>361</v>
      </c>
      <c r="E75" s="8" t="s">
        <v>362</v>
      </c>
      <c r="F75" s="10" t="s">
        <v>2</v>
      </c>
      <c r="G75" s="8" t="s">
        <v>291</v>
      </c>
      <c r="H75" s="8" t="s">
        <v>363</v>
      </c>
    </row>
    <row r="76" customFormat="false" ht="15" hidden="false" customHeight="false" outlineLevel="0" collapsed="false">
      <c r="A76" s="8" t="s">
        <v>364</v>
      </c>
      <c r="B76" s="8" t="s">
        <v>22</v>
      </c>
      <c r="C76" s="8" t="s">
        <v>322</v>
      </c>
      <c r="D76" s="8" t="s">
        <v>365</v>
      </c>
      <c r="E76" s="8" t="s">
        <v>366</v>
      </c>
      <c r="F76" s="10" t="s">
        <v>2</v>
      </c>
      <c r="G76" s="8" t="s">
        <v>291</v>
      </c>
      <c r="H76" s="8" t="s">
        <v>367</v>
      </c>
    </row>
    <row r="77" customFormat="false" ht="15" hidden="false" customHeight="false" outlineLevel="0" collapsed="false">
      <c r="A77" s="8" t="s">
        <v>368</v>
      </c>
      <c r="B77" s="8" t="s">
        <v>22</v>
      </c>
      <c r="C77" s="8" t="s">
        <v>322</v>
      </c>
      <c r="D77" s="8" t="s">
        <v>369</v>
      </c>
      <c r="E77" s="8" t="s">
        <v>370</v>
      </c>
      <c r="F77" s="10" t="s">
        <v>2</v>
      </c>
      <c r="G77" s="8" t="s">
        <v>98</v>
      </c>
      <c r="H77" s="8" t="s">
        <v>98</v>
      </c>
    </row>
    <row r="78" customFormat="false" ht="15" hidden="false" customHeight="false" outlineLevel="0" collapsed="false">
      <c r="A78" s="8" t="s">
        <v>371</v>
      </c>
      <c r="B78" s="8" t="s">
        <v>22</v>
      </c>
      <c r="C78" s="8" t="s">
        <v>322</v>
      </c>
      <c r="D78" s="8" t="s">
        <v>372</v>
      </c>
      <c r="E78" s="8" t="s">
        <v>373</v>
      </c>
      <c r="F78" s="10" t="s">
        <v>2</v>
      </c>
      <c r="G78" s="8" t="s">
        <v>291</v>
      </c>
      <c r="H78" s="8" t="s">
        <v>374</v>
      </c>
    </row>
    <row r="79" customFormat="false" ht="15" hidden="false" customHeight="false" outlineLevel="0" collapsed="false">
      <c r="A79" s="8" t="s">
        <v>375</v>
      </c>
      <c r="B79" s="8" t="s">
        <v>22</v>
      </c>
      <c r="C79" s="8" t="s">
        <v>322</v>
      </c>
      <c r="D79" s="8" t="s">
        <v>376</v>
      </c>
      <c r="E79" s="8" t="s">
        <v>377</v>
      </c>
      <c r="F79" s="10" t="s">
        <v>2</v>
      </c>
      <c r="G79" s="8" t="s">
        <v>291</v>
      </c>
      <c r="H79" s="8" t="s">
        <v>98</v>
      </c>
    </row>
    <row r="80" customFormat="false" ht="15" hidden="false" customHeight="false" outlineLevel="0" collapsed="false">
      <c r="A80" s="8" t="s">
        <v>378</v>
      </c>
      <c r="B80" s="8" t="s">
        <v>22</v>
      </c>
      <c r="C80" s="8" t="s">
        <v>322</v>
      </c>
      <c r="D80" s="8" t="s">
        <v>379</v>
      </c>
      <c r="E80" s="8" t="s">
        <v>380</v>
      </c>
      <c r="F80" s="10" t="s">
        <v>2</v>
      </c>
      <c r="G80" s="8" t="s">
        <v>291</v>
      </c>
      <c r="H80" s="8" t="s">
        <v>98</v>
      </c>
    </row>
    <row r="81" customFormat="false" ht="15" hidden="false" customHeight="false" outlineLevel="0" collapsed="false">
      <c r="A81" s="8" t="s">
        <v>381</v>
      </c>
      <c r="B81" s="8" t="s">
        <v>22</v>
      </c>
      <c r="C81" s="8" t="s">
        <v>322</v>
      </c>
      <c r="D81" s="8" t="s">
        <v>382</v>
      </c>
      <c r="E81" s="8" t="s">
        <v>383</v>
      </c>
      <c r="F81" s="10" t="s">
        <v>2</v>
      </c>
      <c r="G81" s="8" t="s">
        <v>98</v>
      </c>
      <c r="H81" s="8" t="s">
        <v>98</v>
      </c>
    </row>
    <row r="82" customFormat="false" ht="23.85" hidden="false" customHeight="false" outlineLevel="0" collapsed="false">
      <c r="A82" s="8" t="s">
        <v>384</v>
      </c>
      <c r="B82" s="8" t="s">
        <v>22</v>
      </c>
      <c r="C82" s="8" t="s">
        <v>322</v>
      </c>
      <c r="D82" s="8" t="s">
        <v>281</v>
      </c>
      <c r="E82" s="8" t="s">
        <v>385</v>
      </c>
      <c r="F82" s="10" t="s">
        <v>2</v>
      </c>
      <c r="G82" s="8" t="s">
        <v>98</v>
      </c>
      <c r="H82" s="8" t="s">
        <v>98</v>
      </c>
    </row>
    <row r="83" customFormat="false" ht="23.85" hidden="false" customHeight="false" outlineLevel="0" collapsed="false">
      <c r="A83" s="8" t="s">
        <v>386</v>
      </c>
      <c r="B83" s="8" t="s">
        <v>22</v>
      </c>
      <c r="C83" s="8" t="s">
        <v>387</v>
      </c>
      <c r="D83" s="8" t="s">
        <v>388</v>
      </c>
      <c r="E83" s="8" t="s">
        <v>389</v>
      </c>
      <c r="F83" s="10" t="s">
        <v>2</v>
      </c>
      <c r="G83" s="8" t="s">
        <v>98</v>
      </c>
      <c r="H83" s="8" t="s">
        <v>98</v>
      </c>
    </row>
    <row r="84" customFormat="false" ht="15" hidden="false" customHeight="false" outlineLevel="0" collapsed="false">
      <c r="A84" s="8" t="s">
        <v>390</v>
      </c>
      <c r="B84" s="8" t="s">
        <v>22</v>
      </c>
      <c r="C84" s="8" t="s">
        <v>387</v>
      </c>
      <c r="D84" s="8" t="s">
        <v>391</v>
      </c>
      <c r="E84" s="8" t="s">
        <v>392</v>
      </c>
      <c r="F84" s="10" t="s">
        <v>2</v>
      </c>
      <c r="G84" s="8" t="s">
        <v>98</v>
      </c>
      <c r="H84" s="8" t="s">
        <v>98</v>
      </c>
    </row>
    <row r="85" customFormat="false" ht="23.85" hidden="false" customHeight="false" outlineLevel="0" collapsed="false">
      <c r="A85" s="8" t="s">
        <v>393</v>
      </c>
      <c r="B85" s="8" t="s">
        <v>22</v>
      </c>
      <c r="C85" s="8" t="s">
        <v>387</v>
      </c>
      <c r="D85" s="8" t="s">
        <v>394</v>
      </c>
      <c r="E85" s="8" t="s">
        <v>395</v>
      </c>
      <c r="F85" s="10" t="s">
        <v>2</v>
      </c>
      <c r="G85" s="8" t="s">
        <v>98</v>
      </c>
      <c r="H85" s="8" t="s">
        <v>98</v>
      </c>
    </row>
    <row r="86" customFormat="false" ht="15" hidden="false" customHeight="false" outlineLevel="0" collapsed="false">
      <c r="A86" s="8" t="s">
        <v>396</v>
      </c>
      <c r="B86" s="8" t="s">
        <v>22</v>
      </c>
      <c r="C86" s="8" t="s">
        <v>387</v>
      </c>
      <c r="D86" s="8" t="s">
        <v>397</v>
      </c>
      <c r="E86" s="8" t="s">
        <v>398</v>
      </c>
      <c r="F86" s="10" t="s">
        <v>2</v>
      </c>
      <c r="G86" s="8" t="s">
        <v>98</v>
      </c>
      <c r="H86" s="8" t="s">
        <v>98</v>
      </c>
    </row>
    <row r="87" customFormat="false" ht="15" hidden="false" customHeight="false" outlineLevel="0" collapsed="false">
      <c r="A87" s="8" t="s">
        <v>399</v>
      </c>
      <c r="B87" s="8" t="s">
        <v>22</v>
      </c>
      <c r="C87" s="8" t="s">
        <v>387</v>
      </c>
      <c r="D87" s="8" t="s">
        <v>400</v>
      </c>
      <c r="E87" s="8" t="s">
        <v>401</v>
      </c>
      <c r="F87" s="10" t="s">
        <v>2</v>
      </c>
      <c r="G87" s="8" t="s">
        <v>98</v>
      </c>
      <c r="H87" s="8" t="s">
        <v>402</v>
      </c>
    </row>
    <row r="88" customFormat="false" ht="15" hidden="false" customHeight="false" outlineLevel="0" collapsed="false">
      <c r="A88" s="8" t="s">
        <v>403</v>
      </c>
      <c r="B88" s="8" t="s">
        <v>22</v>
      </c>
      <c r="C88" s="8" t="s">
        <v>387</v>
      </c>
      <c r="D88" s="8" t="s">
        <v>404</v>
      </c>
      <c r="E88" s="8" t="s">
        <v>405</v>
      </c>
      <c r="F88" s="10" t="s">
        <v>2</v>
      </c>
      <c r="G88" s="8" t="s">
        <v>98</v>
      </c>
      <c r="H88" s="8" t="s">
        <v>98</v>
      </c>
    </row>
    <row r="89" customFormat="false" ht="23.85" hidden="false" customHeight="false" outlineLevel="0" collapsed="false">
      <c r="A89" s="8" t="s">
        <v>406</v>
      </c>
      <c r="B89" s="8" t="s">
        <v>22</v>
      </c>
      <c r="C89" s="8" t="s">
        <v>407</v>
      </c>
      <c r="D89" s="8" t="s">
        <v>408</v>
      </c>
      <c r="E89" s="8" t="s">
        <v>409</v>
      </c>
      <c r="F89" s="10" t="s">
        <v>2</v>
      </c>
      <c r="G89" s="8" t="s">
        <v>98</v>
      </c>
      <c r="H89" s="8" t="s">
        <v>98</v>
      </c>
    </row>
    <row r="90" customFormat="false" ht="15" hidden="false" customHeight="false" outlineLevel="0" collapsed="false">
      <c r="A90" s="8" t="s">
        <v>410</v>
      </c>
      <c r="B90" s="8" t="s">
        <v>22</v>
      </c>
      <c r="C90" s="8" t="s">
        <v>407</v>
      </c>
      <c r="D90" s="8" t="s">
        <v>411</v>
      </c>
      <c r="E90" s="8" t="s">
        <v>412</v>
      </c>
      <c r="F90" s="10" t="s">
        <v>2</v>
      </c>
      <c r="G90" s="8" t="s">
        <v>98</v>
      </c>
      <c r="H90" s="8" t="s">
        <v>98</v>
      </c>
    </row>
    <row r="91" customFormat="false" ht="15" hidden="false" customHeight="false" outlineLevel="0" collapsed="false">
      <c r="A91" s="8" t="s">
        <v>413</v>
      </c>
      <c r="B91" s="8" t="s">
        <v>22</v>
      </c>
      <c r="C91" s="8" t="s">
        <v>414</v>
      </c>
      <c r="D91" s="8" t="s">
        <v>415</v>
      </c>
      <c r="E91" s="8" t="s">
        <v>416</v>
      </c>
      <c r="F91" s="10" t="s">
        <v>2</v>
      </c>
      <c r="G91" s="8" t="s">
        <v>98</v>
      </c>
      <c r="H91" s="8" t="s">
        <v>417</v>
      </c>
    </row>
    <row r="92" customFormat="false" ht="15" hidden="false" customHeight="false" outlineLevel="0" collapsed="false">
      <c r="A92" s="8" t="s">
        <v>418</v>
      </c>
      <c r="B92" s="8" t="s">
        <v>22</v>
      </c>
      <c r="C92" s="8" t="s">
        <v>419</v>
      </c>
      <c r="D92" s="8" t="s">
        <v>420</v>
      </c>
      <c r="E92" s="8" t="s">
        <v>421</v>
      </c>
      <c r="F92" s="10" t="s">
        <v>2</v>
      </c>
      <c r="G92" s="8" t="s">
        <v>98</v>
      </c>
      <c r="H92" s="8" t="s">
        <v>422</v>
      </c>
    </row>
    <row r="93" customFormat="false" ht="23.85" hidden="false" customHeight="false" outlineLevel="0" collapsed="false">
      <c r="A93" s="8" t="s">
        <v>423</v>
      </c>
      <c r="B93" s="8" t="s">
        <v>22</v>
      </c>
      <c r="C93" s="8" t="s">
        <v>424</v>
      </c>
      <c r="D93" s="8" t="s">
        <v>425</v>
      </c>
      <c r="E93" s="8" t="s">
        <v>426</v>
      </c>
      <c r="F93" s="10" t="s">
        <v>2</v>
      </c>
      <c r="G93" s="8" t="s">
        <v>291</v>
      </c>
      <c r="H93" s="8" t="s">
        <v>427</v>
      </c>
    </row>
    <row r="94" customFormat="false" ht="15" hidden="false" customHeight="false" outlineLevel="0" collapsed="false">
      <c r="A94" s="8" t="s">
        <v>428</v>
      </c>
      <c r="B94" s="8" t="s">
        <v>24</v>
      </c>
      <c r="C94" s="8" t="s">
        <v>429</v>
      </c>
      <c r="D94" s="8" t="s">
        <v>430</v>
      </c>
      <c r="E94" s="8" t="s">
        <v>431</v>
      </c>
      <c r="F94" s="10" t="s">
        <v>2</v>
      </c>
      <c r="G94" s="8" t="s">
        <v>98</v>
      </c>
      <c r="H94" s="8" t="s">
        <v>432</v>
      </c>
    </row>
    <row r="95" customFormat="false" ht="15" hidden="false" customHeight="false" outlineLevel="0" collapsed="false">
      <c r="A95" s="8" t="s">
        <v>433</v>
      </c>
      <c r="B95" s="8" t="s">
        <v>24</v>
      </c>
      <c r="C95" s="8" t="s">
        <v>429</v>
      </c>
      <c r="D95" s="8" t="s">
        <v>434</v>
      </c>
      <c r="E95" s="8" t="s">
        <v>435</v>
      </c>
      <c r="F95" s="10" t="s">
        <v>2</v>
      </c>
      <c r="G95" s="8" t="s">
        <v>291</v>
      </c>
      <c r="H95" s="8" t="s">
        <v>98</v>
      </c>
    </row>
    <row r="96" customFormat="false" ht="15" hidden="false" customHeight="false" outlineLevel="0" collapsed="false">
      <c r="A96" s="8" t="s">
        <v>436</v>
      </c>
      <c r="B96" s="8" t="s">
        <v>24</v>
      </c>
      <c r="C96" s="8" t="s">
        <v>429</v>
      </c>
      <c r="D96" s="8" t="s">
        <v>437</v>
      </c>
      <c r="E96" s="8" t="s">
        <v>438</v>
      </c>
      <c r="F96" s="10" t="s">
        <v>2</v>
      </c>
      <c r="G96" s="8" t="s">
        <v>291</v>
      </c>
      <c r="H96" s="8" t="s">
        <v>98</v>
      </c>
    </row>
    <row r="97" customFormat="false" ht="23.85" hidden="false" customHeight="false" outlineLevel="0" collapsed="false">
      <c r="A97" s="8" t="s">
        <v>439</v>
      </c>
      <c r="B97" s="8" t="s">
        <v>24</v>
      </c>
      <c r="C97" s="8" t="s">
        <v>429</v>
      </c>
      <c r="D97" s="8" t="s">
        <v>440</v>
      </c>
      <c r="E97" s="8" t="s">
        <v>441</v>
      </c>
      <c r="F97" s="10" t="s">
        <v>2</v>
      </c>
      <c r="G97" s="8" t="s">
        <v>442</v>
      </c>
      <c r="H97" s="8" t="s">
        <v>98</v>
      </c>
    </row>
    <row r="98" customFormat="false" ht="23.85" hidden="false" customHeight="false" outlineLevel="0" collapsed="false">
      <c r="A98" s="8" t="s">
        <v>443</v>
      </c>
      <c r="B98" s="8" t="s">
        <v>24</v>
      </c>
      <c r="C98" s="8" t="s">
        <v>429</v>
      </c>
      <c r="D98" s="8" t="s">
        <v>444</v>
      </c>
      <c r="E98" s="8" t="s">
        <v>131</v>
      </c>
      <c r="F98" s="10" t="s">
        <v>2</v>
      </c>
      <c r="G98" s="8" t="s">
        <v>98</v>
      </c>
      <c r="H98" s="8" t="s">
        <v>98</v>
      </c>
    </row>
    <row r="99" customFormat="false" ht="23.85" hidden="false" customHeight="false" outlineLevel="0" collapsed="false">
      <c r="A99" s="8" t="s">
        <v>445</v>
      </c>
      <c r="B99" s="8" t="s">
        <v>24</v>
      </c>
      <c r="C99" s="8" t="s">
        <v>429</v>
      </c>
      <c r="D99" s="8" t="s">
        <v>446</v>
      </c>
      <c r="E99" s="8" t="s">
        <v>447</v>
      </c>
      <c r="F99" s="10" t="s">
        <v>2</v>
      </c>
      <c r="G99" s="8" t="s">
        <v>448</v>
      </c>
      <c r="H99" s="8" t="s">
        <v>449</v>
      </c>
    </row>
    <row r="100" customFormat="false" ht="15" hidden="false" customHeight="false" outlineLevel="0" collapsed="false">
      <c r="A100" s="8" t="s">
        <v>450</v>
      </c>
      <c r="B100" s="8" t="s">
        <v>24</v>
      </c>
      <c r="C100" s="8" t="s">
        <v>429</v>
      </c>
      <c r="D100" s="8" t="s">
        <v>451</v>
      </c>
      <c r="E100" s="8" t="s">
        <v>452</v>
      </c>
      <c r="F100" s="10" t="s">
        <v>2</v>
      </c>
      <c r="G100" s="8" t="s">
        <v>453</v>
      </c>
      <c r="H100" s="8" t="s">
        <v>98</v>
      </c>
    </row>
    <row r="101" customFormat="false" ht="23.85" hidden="false" customHeight="false" outlineLevel="0" collapsed="false">
      <c r="A101" s="8" t="s">
        <v>454</v>
      </c>
      <c r="B101" s="8" t="s">
        <v>24</v>
      </c>
      <c r="C101" s="8" t="s">
        <v>429</v>
      </c>
      <c r="D101" s="8" t="s">
        <v>455</v>
      </c>
      <c r="E101" s="8" t="s">
        <v>456</v>
      </c>
      <c r="F101" s="10" t="s">
        <v>2</v>
      </c>
      <c r="G101" s="8" t="s">
        <v>98</v>
      </c>
      <c r="H101" s="8" t="s">
        <v>98</v>
      </c>
    </row>
    <row r="102" customFormat="false" ht="15" hidden="false" customHeight="false" outlineLevel="0" collapsed="false">
      <c r="A102" s="8" t="s">
        <v>457</v>
      </c>
      <c r="B102" s="8" t="s">
        <v>26</v>
      </c>
      <c r="C102" s="8" t="s">
        <v>458</v>
      </c>
      <c r="D102" s="8" t="s">
        <v>459</v>
      </c>
      <c r="E102" s="8" t="s">
        <v>460</v>
      </c>
      <c r="F102" s="10" t="s">
        <v>2</v>
      </c>
      <c r="G102" s="8" t="s">
        <v>98</v>
      </c>
      <c r="H102" s="8" t="s">
        <v>98</v>
      </c>
    </row>
    <row r="103" customFormat="false" ht="23.85" hidden="false" customHeight="false" outlineLevel="0" collapsed="false">
      <c r="A103" s="8" t="s">
        <v>461</v>
      </c>
      <c r="B103" s="8" t="s">
        <v>26</v>
      </c>
      <c r="C103" s="8" t="s">
        <v>458</v>
      </c>
      <c r="D103" s="8" t="s">
        <v>462</v>
      </c>
      <c r="E103" s="8" t="s">
        <v>463</v>
      </c>
      <c r="F103" s="10" t="s">
        <v>2</v>
      </c>
      <c r="G103" s="8" t="s">
        <v>98</v>
      </c>
      <c r="H103" s="8" t="s">
        <v>98</v>
      </c>
    </row>
    <row r="104" customFormat="false" ht="23.85" hidden="false" customHeight="false" outlineLevel="0" collapsed="false">
      <c r="A104" s="8" t="s">
        <v>464</v>
      </c>
      <c r="B104" s="8" t="s">
        <v>26</v>
      </c>
      <c r="C104" s="8" t="s">
        <v>465</v>
      </c>
      <c r="D104" s="8" t="s">
        <v>466</v>
      </c>
      <c r="E104" s="8" t="s">
        <v>467</v>
      </c>
      <c r="F104" s="10" t="s">
        <v>2</v>
      </c>
      <c r="G104" s="8" t="s">
        <v>98</v>
      </c>
      <c r="H104" s="8" t="s">
        <v>98</v>
      </c>
    </row>
    <row r="105" customFormat="false" ht="15" hidden="false" customHeight="false" outlineLevel="0" collapsed="false">
      <c r="A105" s="8" t="s">
        <v>468</v>
      </c>
      <c r="B105" s="8" t="s">
        <v>26</v>
      </c>
      <c r="C105" s="8" t="s">
        <v>465</v>
      </c>
      <c r="D105" s="8" t="s">
        <v>469</v>
      </c>
      <c r="E105" s="8" t="s">
        <v>470</v>
      </c>
      <c r="F105" s="10" t="s">
        <v>2</v>
      </c>
      <c r="G105" s="8" t="s">
        <v>98</v>
      </c>
      <c r="H105" s="8" t="s">
        <v>98</v>
      </c>
    </row>
    <row r="106" customFormat="false" ht="15" hidden="false" customHeight="false" outlineLevel="0" collapsed="false">
      <c r="A106" s="8" t="s">
        <v>471</v>
      </c>
      <c r="B106" s="8" t="s">
        <v>26</v>
      </c>
      <c r="C106" s="8" t="s">
        <v>465</v>
      </c>
      <c r="D106" s="8" t="s">
        <v>472</v>
      </c>
      <c r="E106" s="8" t="s">
        <v>473</v>
      </c>
      <c r="F106" s="10" t="s">
        <v>2</v>
      </c>
      <c r="G106" s="8" t="s">
        <v>98</v>
      </c>
      <c r="H106" s="8" t="s">
        <v>474</v>
      </c>
    </row>
    <row r="107" customFormat="false" ht="23.85" hidden="false" customHeight="false" outlineLevel="0" collapsed="false">
      <c r="A107" s="8" t="s">
        <v>475</v>
      </c>
      <c r="B107" s="8" t="s">
        <v>26</v>
      </c>
      <c r="C107" s="8" t="s">
        <v>465</v>
      </c>
      <c r="D107" s="8" t="s">
        <v>476</v>
      </c>
      <c r="E107" s="8" t="s">
        <v>477</v>
      </c>
      <c r="F107" s="10" t="s">
        <v>2</v>
      </c>
      <c r="G107" s="8" t="s">
        <v>98</v>
      </c>
      <c r="H107" s="8" t="s">
        <v>98</v>
      </c>
    </row>
    <row r="108" customFormat="false" ht="15" hidden="false" customHeight="false" outlineLevel="0" collapsed="false">
      <c r="A108" s="8" t="s">
        <v>478</v>
      </c>
      <c r="B108" s="8" t="s">
        <v>26</v>
      </c>
      <c r="C108" s="8" t="s">
        <v>465</v>
      </c>
      <c r="D108" s="8" t="s">
        <v>479</v>
      </c>
      <c r="E108" s="8" t="s">
        <v>480</v>
      </c>
      <c r="F108" s="10" t="s">
        <v>2</v>
      </c>
      <c r="G108" s="8" t="s">
        <v>98</v>
      </c>
      <c r="H108" s="8" t="s">
        <v>98</v>
      </c>
    </row>
    <row r="109" customFormat="false" ht="23.85" hidden="false" customHeight="false" outlineLevel="0" collapsed="false">
      <c r="A109" s="8" t="s">
        <v>481</v>
      </c>
      <c r="B109" s="8" t="s">
        <v>26</v>
      </c>
      <c r="C109" s="8" t="s">
        <v>482</v>
      </c>
      <c r="D109" s="8" t="s">
        <v>483</v>
      </c>
      <c r="E109" s="8" t="s">
        <v>484</v>
      </c>
      <c r="F109" s="10" t="s">
        <v>2</v>
      </c>
      <c r="G109" s="8" t="s">
        <v>98</v>
      </c>
      <c r="H109" s="8" t="s">
        <v>98</v>
      </c>
    </row>
    <row r="110" customFormat="false" ht="23.85" hidden="false" customHeight="false" outlineLevel="0" collapsed="false">
      <c r="A110" s="8" t="s">
        <v>485</v>
      </c>
      <c r="B110" s="8" t="s">
        <v>26</v>
      </c>
      <c r="C110" s="8" t="s">
        <v>486</v>
      </c>
      <c r="D110" s="8" t="s">
        <v>487</v>
      </c>
      <c r="E110" s="8" t="s">
        <v>488</v>
      </c>
      <c r="F110" s="10" t="s">
        <v>2</v>
      </c>
      <c r="G110" s="8" t="s">
        <v>98</v>
      </c>
      <c r="H110" s="8" t="s">
        <v>98</v>
      </c>
    </row>
    <row r="111" customFormat="false" ht="15" hidden="false" customHeight="false" outlineLevel="0" collapsed="false">
      <c r="A111" s="8" t="s">
        <v>489</v>
      </c>
      <c r="B111" s="8" t="s">
        <v>28</v>
      </c>
      <c r="C111" s="8" t="s">
        <v>136</v>
      </c>
      <c r="D111" s="8" t="s">
        <v>490</v>
      </c>
      <c r="E111" s="8" t="s">
        <v>491</v>
      </c>
      <c r="F111" s="10" t="s">
        <v>2</v>
      </c>
      <c r="G111" s="8" t="s">
        <v>98</v>
      </c>
      <c r="H111" s="8" t="s">
        <v>98</v>
      </c>
    </row>
    <row r="112" customFormat="false" ht="15" hidden="false" customHeight="false" outlineLevel="0" collapsed="false">
      <c r="A112" s="8" t="s">
        <v>492</v>
      </c>
      <c r="B112" s="8" t="s">
        <v>28</v>
      </c>
      <c r="C112" s="8" t="s">
        <v>136</v>
      </c>
      <c r="D112" s="8" t="s">
        <v>493</v>
      </c>
      <c r="E112" s="8" t="s">
        <v>494</v>
      </c>
      <c r="F112" s="10" t="s">
        <v>2</v>
      </c>
      <c r="G112" s="8" t="s">
        <v>98</v>
      </c>
      <c r="H112" s="8" t="s">
        <v>98</v>
      </c>
    </row>
    <row r="113" customFormat="false" ht="15" hidden="false" customHeight="false" outlineLevel="0" collapsed="false">
      <c r="A113" s="8" t="s">
        <v>495</v>
      </c>
      <c r="B113" s="8" t="s">
        <v>28</v>
      </c>
      <c r="C113" s="8" t="s">
        <v>136</v>
      </c>
      <c r="D113" s="8" t="s">
        <v>496</v>
      </c>
      <c r="E113" s="8" t="s">
        <v>497</v>
      </c>
      <c r="F113" s="10" t="s">
        <v>2</v>
      </c>
      <c r="G113" s="8" t="s">
        <v>347</v>
      </c>
      <c r="H113" s="8" t="s">
        <v>98</v>
      </c>
    </row>
    <row r="114" customFormat="false" ht="23.85" hidden="false" customHeight="false" outlineLevel="0" collapsed="false">
      <c r="A114" s="8" t="s">
        <v>498</v>
      </c>
      <c r="B114" s="8" t="s">
        <v>28</v>
      </c>
      <c r="C114" s="8" t="s">
        <v>136</v>
      </c>
      <c r="D114" s="8" t="s">
        <v>499</v>
      </c>
      <c r="E114" s="8" t="s">
        <v>500</v>
      </c>
      <c r="F114" s="10" t="s">
        <v>2</v>
      </c>
      <c r="G114" s="8" t="s">
        <v>291</v>
      </c>
      <c r="H114" s="8" t="s">
        <v>501</v>
      </c>
    </row>
    <row r="115" customFormat="false" ht="15" hidden="false" customHeight="false" outlineLevel="0" collapsed="false">
      <c r="A115" s="8" t="s">
        <v>502</v>
      </c>
      <c r="B115" s="8" t="s">
        <v>28</v>
      </c>
      <c r="C115" s="8" t="s">
        <v>136</v>
      </c>
      <c r="D115" s="8" t="s">
        <v>281</v>
      </c>
      <c r="E115" s="8" t="s">
        <v>503</v>
      </c>
      <c r="F115" s="10" t="s">
        <v>2</v>
      </c>
      <c r="G115" s="8" t="s">
        <v>98</v>
      </c>
      <c r="H115" s="8" t="s">
        <v>98</v>
      </c>
    </row>
    <row r="116" customFormat="false" ht="15" hidden="false" customHeight="false" outlineLevel="0" collapsed="false">
      <c r="A116" s="8" t="s">
        <v>504</v>
      </c>
      <c r="B116" s="8" t="s">
        <v>30</v>
      </c>
      <c r="C116" s="8" t="s">
        <v>505</v>
      </c>
      <c r="D116" s="8" t="s">
        <v>506</v>
      </c>
      <c r="E116" s="8" t="s">
        <v>507</v>
      </c>
      <c r="F116" s="10" t="s">
        <v>2</v>
      </c>
      <c r="G116" s="8" t="s">
        <v>291</v>
      </c>
      <c r="H116" s="8" t="s">
        <v>166</v>
      </c>
    </row>
    <row r="117" customFormat="false" ht="15" hidden="false" customHeight="false" outlineLevel="0" collapsed="false">
      <c r="A117" s="8" t="s">
        <v>508</v>
      </c>
      <c r="B117" s="8" t="s">
        <v>30</v>
      </c>
      <c r="C117" s="8" t="s">
        <v>505</v>
      </c>
      <c r="D117" s="8" t="s">
        <v>509</v>
      </c>
      <c r="E117" s="8" t="s">
        <v>510</v>
      </c>
      <c r="F117" s="10" t="s">
        <v>2</v>
      </c>
      <c r="G117" s="8" t="s">
        <v>98</v>
      </c>
      <c r="H117" s="8" t="s">
        <v>98</v>
      </c>
    </row>
    <row r="118" customFormat="false" ht="15" hidden="false" customHeight="false" outlineLevel="0" collapsed="false">
      <c r="A118" s="8" t="s">
        <v>511</v>
      </c>
      <c r="B118" s="8" t="s">
        <v>30</v>
      </c>
      <c r="C118" s="8" t="s">
        <v>505</v>
      </c>
      <c r="D118" s="8" t="s">
        <v>281</v>
      </c>
      <c r="E118" s="8" t="s">
        <v>512</v>
      </c>
      <c r="F118" s="10" t="s">
        <v>2</v>
      </c>
      <c r="G118" s="8" t="s">
        <v>98</v>
      </c>
      <c r="H118" s="8" t="s">
        <v>98</v>
      </c>
    </row>
    <row r="119" customFormat="false" ht="35.05" hidden="false" customHeight="false" outlineLevel="0" collapsed="false">
      <c r="A119" s="8" t="s">
        <v>513</v>
      </c>
      <c r="B119" s="8" t="s">
        <v>30</v>
      </c>
      <c r="C119" s="8" t="s">
        <v>424</v>
      </c>
      <c r="D119" s="8" t="s">
        <v>514</v>
      </c>
      <c r="E119" s="8" t="s">
        <v>515</v>
      </c>
      <c r="F119" s="10" t="s">
        <v>2</v>
      </c>
      <c r="G119" s="8" t="s">
        <v>291</v>
      </c>
      <c r="H119" s="8" t="s">
        <v>98</v>
      </c>
    </row>
    <row r="120" customFormat="false" ht="15" hidden="false" customHeight="false" outlineLevel="0" collapsed="false">
      <c r="A120" s="8" t="s">
        <v>516</v>
      </c>
      <c r="B120" s="8" t="s">
        <v>32</v>
      </c>
      <c r="C120" s="8" t="s">
        <v>429</v>
      </c>
      <c r="D120" s="8" t="s">
        <v>517</v>
      </c>
      <c r="E120" s="8" t="s">
        <v>518</v>
      </c>
      <c r="F120" s="10" t="s">
        <v>2</v>
      </c>
      <c r="G120" s="8" t="s">
        <v>291</v>
      </c>
      <c r="H120" s="8" t="s">
        <v>98</v>
      </c>
    </row>
    <row r="121" customFormat="false" ht="15" hidden="false" customHeight="false" outlineLevel="0" collapsed="false">
      <c r="A121" s="8" t="s">
        <v>519</v>
      </c>
      <c r="B121" s="8" t="s">
        <v>32</v>
      </c>
      <c r="C121" s="8" t="s">
        <v>429</v>
      </c>
      <c r="D121" s="8" t="s">
        <v>520</v>
      </c>
      <c r="E121" s="8" t="s">
        <v>521</v>
      </c>
      <c r="F121" s="10" t="s">
        <v>2</v>
      </c>
      <c r="G121" s="8" t="s">
        <v>291</v>
      </c>
      <c r="H121" s="8" t="s">
        <v>98</v>
      </c>
    </row>
    <row r="122" customFormat="false" ht="15" hidden="false" customHeight="false" outlineLevel="0" collapsed="false">
      <c r="A122" s="8" t="s">
        <v>522</v>
      </c>
      <c r="B122" s="8" t="s">
        <v>32</v>
      </c>
      <c r="C122" s="8" t="s">
        <v>429</v>
      </c>
      <c r="D122" s="8" t="s">
        <v>523</v>
      </c>
      <c r="E122" s="8" t="s">
        <v>524</v>
      </c>
      <c r="F122" s="10" t="s">
        <v>2</v>
      </c>
      <c r="G122" s="8" t="s">
        <v>98</v>
      </c>
      <c r="H122" s="8" t="s">
        <v>98</v>
      </c>
    </row>
    <row r="123" customFormat="false" ht="23.85" hidden="false" customHeight="false" outlineLevel="0" collapsed="false">
      <c r="A123" s="8" t="s">
        <v>525</v>
      </c>
      <c r="B123" s="8" t="s">
        <v>32</v>
      </c>
      <c r="C123" s="8" t="s">
        <v>429</v>
      </c>
      <c r="D123" s="8" t="s">
        <v>526</v>
      </c>
      <c r="E123" s="8" t="s">
        <v>527</v>
      </c>
      <c r="F123" s="10" t="s">
        <v>2</v>
      </c>
      <c r="G123" s="8" t="s">
        <v>291</v>
      </c>
      <c r="H123" s="8" t="s">
        <v>98</v>
      </c>
    </row>
    <row r="124" customFormat="false" ht="23.85" hidden="false" customHeight="false" outlineLevel="0" collapsed="false">
      <c r="A124" s="8" t="s">
        <v>528</v>
      </c>
      <c r="B124" s="8" t="s">
        <v>32</v>
      </c>
      <c r="C124" s="8" t="s">
        <v>429</v>
      </c>
      <c r="D124" s="8" t="s">
        <v>529</v>
      </c>
      <c r="E124" s="8" t="s">
        <v>530</v>
      </c>
      <c r="F124" s="10" t="s">
        <v>2</v>
      </c>
      <c r="G124" s="8" t="s">
        <v>453</v>
      </c>
      <c r="H124" s="8" t="s">
        <v>98</v>
      </c>
    </row>
    <row r="125" customFormat="false" ht="15" hidden="false" customHeight="false" outlineLevel="0" collapsed="false">
      <c r="A125" s="8" t="s">
        <v>531</v>
      </c>
      <c r="B125" s="8" t="s">
        <v>32</v>
      </c>
      <c r="C125" s="8" t="s">
        <v>429</v>
      </c>
      <c r="D125" s="8" t="s">
        <v>532</v>
      </c>
      <c r="E125" s="8" t="s">
        <v>533</v>
      </c>
      <c r="F125" s="10" t="s">
        <v>2</v>
      </c>
      <c r="G125" s="8" t="s">
        <v>98</v>
      </c>
      <c r="H125" s="8" t="s">
        <v>98</v>
      </c>
    </row>
    <row r="126" customFormat="false" ht="23.85" hidden="false" customHeight="false" outlineLevel="0" collapsed="false">
      <c r="A126" s="8" t="s">
        <v>534</v>
      </c>
      <c r="B126" s="8" t="s">
        <v>34</v>
      </c>
      <c r="C126" s="8" t="s">
        <v>505</v>
      </c>
      <c r="D126" s="8" t="s">
        <v>535</v>
      </c>
      <c r="E126" s="8" t="s">
        <v>536</v>
      </c>
      <c r="F126" s="10" t="s">
        <v>2</v>
      </c>
      <c r="G126" s="8" t="s">
        <v>98</v>
      </c>
      <c r="H126" s="8" t="s">
        <v>98</v>
      </c>
    </row>
    <row r="127" customFormat="false" ht="23.85" hidden="false" customHeight="false" outlineLevel="0" collapsed="false">
      <c r="A127" s="8" t="s">
        <v>537</v>
      </c>
      <c r="B127" s="8" t="s">
        <v>34</v>
      </c>
      <c r="C127" s="8" t="s">
        <v>505</v>
      </c>
      <c r="D127" s="8" t="s">
        <v>538</v>
      </c>
      <c r="E127" s="8" t="s">
        <v>539</v>
      </c>
      <c r="F127" s="10" t="s">
        <v>2</v>
      </c>
      <c r="G127" s="8" t="s">
        <v>98</v>
      </c>
      <c r="H127" s="8" t="s">
        <v>98</v>
      </c>
    </row>
    <row r="128" customFormat="false" ht="15" hidden="false" customHeight="false" outlineLevel="0" collapsed="false">
      <c r="A128" s="8" t="s">
        <v>540</v>
      </c>
      <c r="B128" s="8" t="s">
        <v>34</v>
      </c>
      <c r="C128" s="8" t="s">
        <v>541</v>
      </c>
      <c r="D128" s="8" t="s">
        <v>542</v>
      </c>
      <c r="E128" s="8" t="s">
        <v>543</v>
      </c>
      <c r="F128" s="10" t="s">
        <v>2</v>
      </c>
      <c r="G128" s="8" t="s">
        <v>98</v>
      </c>
      <c r="H128" s="8" t="s">
        <v>544</v>
      </c>
    </row>
    <row r="129" customFormat="false" ht="23.85" hidden="false" customHeight="false" outlineLevel="0" collapsed="false">
      <c r="A129" s="8" t="s">
        <v>545</v>
      </c>
      <c r="B129" s="8" t="s">
        <v>34</v>
      </c>
      <c r="C129" s="8" t="s">
        <v>541</v>
      </c>
      <c r="D129" s="8" t="s">
        <v>546</v>
      </c>
      <c r="E129" s="8" t="s">
        <v>547</v>
      </c>
      <c r="F129" s="10" t="s">
        <v>2</v>
      </c>
      <c r="G129" s="8" t="s">
        <v>98</v>
      </c>
      <c r="H129" s="8" t="s">
        <v>548</v>
      </c>
    </row>
    <row r="130" customFormat="false" ht="23.85" hidden="false" customHeight="false" outlineLevel="0" collapsed="false">
      <c r="A130" s="8" t="s">
        <v>549</v>
      </c>
      <c r="B130" s="8" t="s">
        <v>34</v>
      </c>
      <c r="C130" s="8" t="s">
        <v>550</v>
      </c>
      <c r="D130" s="8" t="s">
        <v>551</v>
      </c>
      <c r="E130" s="8" t="s">
        <v>552</v>
      </c>
      <c r="F130" s="10" t="s">
        <v>2</v>
      </c>
      <c r="G130" s="8" t="s">
        <v>98</v>
      </c>
      <c r="H130" s="8" t="s">
        <v>98</v>
      </c>
    </row>
    <row r="131" customFormat="false" ht="15" hidden="false" customHeight="false" outlineLevel="0" collapsed="false">
      <c r="A131" s="8" t="s">
        <v>553</v>
      </c>
      <c r="B131" s="8" t="s">
        <v>34</v>
      </c>
      <c r="C131" s="8" t="s">
        <v>554</v>
      </c>
      <c r="D131" s="8" t="s">
        <v>555</v>
      </c>
      <c r="E131" s="8" t="s">
        <v>556</v>
      </c>
      <c r="F131" s="10" t="s">
        <v>2</v>
      </c>
      <c r="G131" s="8" t="s">
        <v>98</v>
      </c>
      <c r="H131" s="8" t="s">
        <v>98</v>
      </c>
    </row>
    <row r="132" customFormat="false" ht="23.85" hidden="false" customHeight="false" outlineLevel="0" collapsed="false">
      <c r="A132" s="8" t="s">
        <v>557</v>
      </c>
      <c r="B132" s="8" t="s">
        <v>34</v>
      </c>
      <c r="C132" s="8" t="s">
        <v>558</v>
      </c>
      <c r="D132" s="8" t="s">
        <v>559</v>
      </c>
      <c r="E132" s="8" t="s">
        <v>560</v>
      </c>
      <c r="F132" s="10" t="s">
        <v>2</v>
      </c>
      <c r="G132" s="8" t="s">
        <v>561</v>
      </c>
      <c r="H132" s="8" t="s">
        <v>98</v>
      </c>
    </row>
    <row r="133" customFormat="false" ht="15" hidden="false" customHeight="false" outlineLevel="0" collapsed="false">
      <c r="A133" s="8" t="s">
        <v>562</v>
      </c>
      <c r="B133" s="8" t="s">
        <v>34</v>
      </c>
      <c r="C133" s="8" t="s">
        <v>505</v>
      </c>
      <c r="D133" s="8" t="s">
        <v>404</v>
      </c>
      <c r="E133" s="8" t="s">
        <v>563</v>
      </c>
      <c r="F133" s="10" t="s">
        <v>2</v>
      </c>
      <c r="G133" s="8" t="s">
        <v>98</v>
      </c>
      <c r="H133" s="8" t="s">
        <v>564</v>
      </c>
    </row>
    <row r="134" customFormat="false" ht="15" hidden="false" customHeight="false" outlineLevel="0" collapsed="false">
      <c r="A134" s="8" t="s">
        <v>565</v>
      </c>
      <c r="B134" s="8" t="s">
        <v>36</v>
      </c>
      <c r="C134" s="8" t="s">
        <v>566</v>
      </c>
      <c r="D134" s="8" t="s">
        <v>567</v>
      </c>
      <c r="E134" s="8" t="s">
        <v>568</v>
      </c>
      <c r="F134" s="10" t="s">
        <v>2</v>
      </c>
      <c r="G134" s="8" t="s">
        <v>98</v>
      </c>
      <c r="H134" s="8" t="s">
        <v>98</v>
      </c>
    </row>
    <row r="135" customFormat="false" ht="15" hidden="false" customHeight="false" outlineLevel="0" collapsed="false">
      <c r="A135" s="8" t="s">
        <v>569</v>
      </c>
      <c r="B135" s="8" t="s">
        <v>36</v>
      </c>
      <c r="C135" s="8" t="s">
        <v>566</v>
      </c>
      <c r="D135" s="8" t="s">
        <v>570</v>
      </c>
      <c r="E135" s="8" t="s">
        <v>571</v>
      </c>
      <c r="F135" s="10" t="s">
        <v>2</v>
      </c>
      <c r="G135" s="8" t="s">
        <v>98</v>
      </c>
      <c r="H135" s="8" t="s">
        <v>572</v>
      </c>
    </row>
    <row r="136" customFormat="false" ht="15" hidden="false" customHeight="false" outlineLevel="0" collapsed="false">
      <c r="A136" s="8" t="s">
        <v>573</v>
      </c>
      <c r="B136" s="8" t="s">
        <v>36</v>
      </c>
      <c r="C136" s="8" t="s">
        <v>566</v>
      </c>
      <c r="D136" s="8" t="s">
        <v>574</v>
      </c>
      <c r="E136" s="8" t="s">
        <v>575</v>
      </c>
      <c r="F136" s="10" t="s">
        <v>2</v>
      </c>
      <c r="G136" s="8" t="s">
        <v>98</v>
      </c>
      <c r="H136" s="8" t="s">
        <v>576</v>
      </c>
    </row>
    <row r="137" customFormat="false" ht="15" hidden="false" customHeight="false" outlineLevel="0" collapsed="false">
      <c r="A137" s="8" t="s">
        <v>577</v>
      </c>
      <c r="B137" s="8" t="s">
        <v>36</v>
      </c>
      <c r="C137" s="8" t="s">
        <v>566</v>
      </c>
      <c r="D137" s="8" t="s">
        <v>578</v>
      </c>
      <c r="E137" s="8" t="s">
        <v>579</v>
      </c>
      <c r="F137" s="10" t="s">
        <v>2</v>
      </c>
      <c r="G137" s="8" t="s">
        <v>98</v>
      </c>
      <c r="H137" s="8" t="s">
        <v>98</v>
      </c>
    </row>
    <row r="138" customFormat="false" ht="15" hidden="false" customHeight="false" outlineLevel="0" collapsed="false">
      <c r="A138" s="8" t="s">
        <v>580</v>
      </c>
      <c r="B138" s="8" t="s">
        <v>36</v>
      </c>
      <c r="C138" s="8" t="s">
        <v>566</v>
      </c>
      <c r="D138" s="8" t="s">
        <v>581</v>
      </c>
      <c r="E138" s="8" t="s">
        <v>582</v>
      </c>
      <c r="F138" s="10" t="s">
        <v>2</v>
      </c>
      <c r="G138" s="8" t="s">
        <v>98</v>
      </c>
      <c r="H138" s="8" t="s">
        <v>583</v>
      </c>
    </row>
    <row r="139" customFormat="false" ht="15" hidden="false" customHeight="false" outlineLevel="0" collapsed="false">
      <c r="A139" s="8" t="s">
        <v>584</v>
      </c>
      <c r="B139" s="8" t="s">
        <v>36</v>
      </c>
      <c r="C139" s="8" t="s">
        <v>54</v>
      </c>
      <c r="D139" s="8" t="s">
        <v>585</v>
      </c>
      <c r="E139" s="8" t="s">
        <v>586</v>
      </c>
      <c r="F139" s="10" t="s">
        <v>2</v>
      </c>
      <c r="G139" s="8" t="s">
        <v>347</v>
      </c>
      <c r="H139" s="8" t="s">
        <v>587</v>
      </c>
    </row>
    <row r="140" customFormat="false" ht="23.85" hidden="false" customHeight="false" outlineLevel="0" collapsed="false">
      <c r="A140" s="8" t="s">
        <v>588</v>
      </c>
      <c r="B140" s="8" t="s">
        <v>38</v>
      </c>
      <c r="C140" s="8" t="s">
        <v>18</v>
      </c>
      <c r="D140" s="8" t="s">
        <v>589</v>
      </c>
      <c r="E140" s="8" t="s">
        <v>590</v>
      </c>
      <c r="F140" s="10" t="s">
        <v>2</v>
      </c>
      <c r="G140" s="8" t="s">
        <v>98</v>
      </c>
      <c r="H140" s="8" t="s">
        <v>98</v>
      </c>
    </row>
    <row r="141" customFormat="false" ht="15" hidden="false" customHeight="false" outlineLevel="0" collapsed="false">
      <c r="A141" s="8" t="s">
        <v>591</v>
      </c>
      <c r="B141" s="8" t="s">
        <v>38</v>
      </c>
      <c r="C141" s="8" t="s">
        <v>18</v>
      </c>
      <c r="D141" s="8" t="s">
        <v>592</v>
      </c>
      <c r="E141" s="8" t="s">
        <v>593</v>
      </c>
      <c r="F141" s="10" t="s">
        <v>2</v>
      </c>
      <c r="G141" s="8" t="s">
        <v>98</v>
      </c>
      <c r="H141" s="8" t="s">
        <v>98</v>
      </c>
    </row>
    <row r="142" customFormat="false" ht="15" hidden="false" customHeight="false" outlineLevel="0" collapsed="false">
      <c r="A142" s="8" t="s">
        <v>594</v>
      </c>
      <c r="B142" s="8" t="s">
        <v>38</v>
      </c>
      <c r="C142" s="8" t="s">
        <v>18</v>
      </c>
      <c r="D142" s="8" t="s">
        <v>595</v>
      </c>
      <c r="E142" s="8" t="s">
        <v>596</v>
      </c>
      <c r="F142" s="10" t="s">
        <v>2</v>
      </c>
      <c r="G142" s="8" t="s">
        <v>98</v>
      </c>
      <c r="H142" s="8" t="s">
        <v>98</v>
      </c>
    </row>
    <row r="143" customFormat="false" ht="15" hidden="false" customHeight="false" outlineLevel="0" collapsed="false">
      <c r="A143" s="8" t="s">
        <v>597</v>
      </c>
      <c r="B143" s="8" t="s">
        <v>38</v>
      </c>
      <c r="C143" s="8" t="s">
        <v>18</v>
      </c>
      <c r="D143" s="8" t="s">
        <v>598</v>
      </c>
      <c r="E143" s="8" t="s">
        <v>599</v>
      </c>
      <c r="F143" s="10" t="s">
        <v>2</v>
      </c>
      <c r="G143" s="8" t="s">
        <v>98</v>
      </c>
      <c r="H143" s="8" t="s">
        <v>98</v>
      </c>
    </row>
    <row r="144" customFormat="false" ht="15" hidden="false" customHeight="false" outlineLevel="0" collapsed="false">
      <c r="A144" s="8" t="s">
        <v>600</v>
      </c>
      <c r="B144" s="8" t="s">
        <v>38</v>
      </c>
      <c r="C144" s="8" t="s">
        <v>18</v>
      </c>
      <c r="D144" s="8" t="s">
        <v>601</v>
      </c>
      <c r="E144" s="8" t="s">
        <v>602</v>
      </c>
      <c r="F144" s="10" t="s">
        <v>2</v>
      </c>
      <c r="G144" s="8" t="s">
        <v>98</v>
      </c>
      <c r="H144" s="8" t="s">
        <v>98</v>
      </c>
    </row>
    <row r="145" customFormat="false" ht="15" hidden="false" customHeight="false" outlineLevel="0" collapsed="false">
      <c r="A145" s="8" t="s">
        <v>603</v>
      </c>
      <c r="B145" s="8" t="s">
        <v>38</v>
      </c>
      <c r="C145" s="8" t="s">
        <v>18</v>
      </c>
      <c r="D145" s="8" t="s">
        <v>604</v>
      </c>
      <c r="E145" s="8" t="s">
        <v>605</v>
      </c>
      <c r="F145" s="10" t="s">
        <v>2</v>
      </c>
      <c r="G145" s="8" t="s">
        <v>98</v>
      </c>
      <c r="H145" s="8" t="s">
        <v>606</v>
      </c>
    </row>
    <row r="146" customFormat="false" ht="23.85" hidden="false" customHeight="false" outlineLevel="0" collapsed="false">
      <c r="A146" s="8" t="s">
        <v>607</v>
      </c>
      <c r="B146" s="8" t="s">
        <v>38</v>
      </c>
      <c r="C146" s="8" t="s">
        <v>18</v>
      </c>
      <c r="D146" s="8" t="s">
        <v>608</v>
      </c>
      <c r="E146" s="8" t="s">
        <v>609</v>
      </c>
      <c r="F146" s="10" t="s">
        <v>2</v>
      </c>
      <c r="G146" s="8" t="s">
        <v>347</v>
      </c>
      <c r="H146" s="8" t="s">
        <v>610</v>
      </c>
    </row>
    <row r="147" customFormat="false" ht="23.85" hidden="false" customHeight="false" outlineLevel="0" collapsed="false">
      <c r="A147" s="8" t="s">
        <v>611</v>
      </c>
      <c r="B147" s="8" t="s">
        <v>40</v>
      </c>
      <c r="C147" s="8" t="s">
        <v>505</v>
      </c>
      <c r="D147" s="8" t="s">
        <v>612</v>
      </c>
      <c r="E147" s="8" t="s">
        <v>613</v>
      </c>
      <c r="F147" s="10" t="s">
        <v>2</v>
      </c>
      <c r="G147" s="8" t="s">
        <v>614</v>
      </c>
      <c r="H147" s="8" t="s">
        <v>98</v>
      </c>
    </row>
    <row r="148" customFormat="false" ht="15" hidden="false" customHeight="false" outlineLevel="0" collapsed="false">
      <c r="A148" s="8" t="s">
        <v>615</v>
      </c>
      <c r="B148" s="8" t="s">
        <v>40</v>
      </c>
      <c r="C148" s="8" t="s">
        <v>505</v>
      </c>
      <c r="D148" s="8" t="s">
        <v>616</v>
      </c>
      <c r="E148" s="8" t="s">
        <v>617</v>
      </c>
      <c r="F148" s="10" t="s">
        <v>2</v>
      </c>
      <c r="G148" s="8" t="s">
        <v>614</v>
      </c>
      <c r="H148" s="8" t="s">
        <v>618</v>
      </c>
    </row>
    <row r="149" customFormat="false" ht="15" hidden="false" customHeight="false" outlineLevel="0" collapsed="false">
      <c r="A149" s="8" t="s">
        <v>619</v>
      </c>
      <c r="B149" s="8" t="s">
        <v>40</v>
      </c>
      <c r="C149" s="8" t="s">
        <v>505</v>
      </c>
      <c r="D149" s="8" t="s">
        <v>620</v>
      </c>
      <c r="E149" s="8" t="s">
        <v>621</v>
      </c>
      <c r="F149" s="10" t="s">
        <v>2</v>
      </c>
      <c r="G149" s="8" t="s">
        <v>614</v>
      </c>
      <c r="H149" s="8" t="s">
        <v>98</v>
      </c>
    </row>
    <row r="150" customFormat="false" ht="15" hidden="false" customHeight="false" outlineLevel="0" collapsed="false">
      <c r="A150" s="8" t="s">
        <v>622</v>
      </c>
      <c r="B150" s="8" t="s">
        <v>40</v>
      </c>
      <c r="C150" s="8" t="s">
        <v>623</v>
      </c>
      <c r="D150" s="8" t="s">
        <v>624</v>
      </c>
      <c r="E150" s="8" t="s">
        <v>625</v>
      </c>
      <c r="F150" s="10" t="s">
        <v>2</v>
      </c>
      <c r="G150" s="8" t="s">
        <v>614</v>
      </c>
      <c r="H150" s="8" t="s">
        <v>98</v>
      </c>
    </row>
    <row r="151" customFormat="false" ht="23.85" hidden="false" customHeight="false" outlineLevel="0" collapsed="false">
      <c r="A151" s="8" t="s">
        <v>626</v>
      </c>
      <c r="B151" s="8" t="s">
        <v>42</v>
      </c>
      <c r="C151" s="8" t="s">
        <v>322</v>
      </c>
      <c r="D151" s="8" t="s">
        <v>627</v>
      </c>
      <c r="E151" s="8" t="s">
        <v>628</v>
      </c>
      <c r="F151" s="10" t="s">
        <v>2</v>
      </c>
      <c r="G151" s="8" t="s">
        <v>98</v>
      </c>
      <c r="H151" s="8" t="s">
        <v>98</v>
      </c>
    </row>
    <row r="152" customFormat="false" ht="15" hidden="false" customHeight="false" outlineLevel="0" collapsed="false">
      <c r="A152" s="8" t="s">
        <v>629</v>
      </c>
      <c r="B152" s="8" t="s">
        <v>42</v>
      </c>
      <c r="C152" s="8" t="s">
        <v>322</v>
      </c>
      <c r="D152" s="8" t="s">
        <v>630</v>
      </c>
      <c r="E152" s="8" t="s">
        <v>631</v>
      </c>
      <c r="F152" s="10" t="s">
        <v>2</v>
      </c>
      <c r="G152" s="8" t="s">
        <v>291</v>
      </c>
      <c r="H152" s="8" t="s">
        <v>98</v>
      </c>
    </row>
    <row r="153" customFormat="false" ht="23.85" hidden="false" customHeight="false" outlineLevel="0" collapsed="false">
      <c r="A153" s="8" t="s">
        <v>632</v>
      </c>
      <c r="B153" s="8" t="s">
        <v>42</v>
      </c>
      <c r="C153" s="8" t="s">
        <v>429</v>
      </c>
      <c r="D153" s="8" t="s">
        <v>633</v>
      </c>
      <c r="E153" s="8" t="s">
        <v>634</v>
      </c>
      <c r="F153" s="10" t="s">
        <v>2</v>
      </c>
      <c r="G153" s="8" t="s">
        <v>98</v>
      </c>
      <c r="H153" s="8" t="s">
        <v>98</v>
      </c>
    </row>
    <row r="154" customFormat="false" ht="15" hidden="false" customHeight="false" outlineLevel="0" collapsed="false">
      <c r="A154" s="8" t="s">
        <v>635</v>
      </c>
      <c r="B154" s="8" t="s">
        <v>44</v>
      </c>
      <c r="C154" s="8" t="s">
        <v>636</v>
      </c>
      <c r="D154" s="8" t="s">
        <v>637</v>
      </c>
      <c r="E154" s="8" t="s">
        <v>638</v>
      </c>
      <c r="F154" s="10" t="s">
        <v>2</v>
      </c>
      <c r="G154" s="8" t="s">
        <v>614</v>
      </c>
      <c r="H154" s="8" t="s">
        <v>639</v>
      </c>
    </row>
    <row r="155" customFormat="false" ht="15" hidden="false" customHeight="false" outlineLevel="0" collapsed="false">
      <c r="A155" s="8" t="s">
        <v>640</v>
      </c>
      <c r="B155" s="8" t="s">
        <v>44</v>
      </c>
      <c r="C155" s="8" t="s">
        <v>636</v>
      </c>
      <c r="D155" s="8" t="s">
        <v>641</v>
      </c>
      <c r="E155" s="8" t="s">
        <v>642</v>
      </c>
      <c r="F155" s="10" t="s">
        <v>2</v>
      </c>
      <c r="G155" s="8" t="s">
        <v>614</v>
      </c>
      <c r="H155" s="8" t="s">
        <v>98</v>
      </c>
    </row>
    <row r="156" customFormat="false" ht="23.85" hidden="false" customHeight="false" outlineLevel="0" collapsed="false">
      <c r="A156" s="8" t="s">
        <v>643</v>
      </c>
      <c r="B156" s="8" t="s">
        <v>44</v>
      </c>
      <c r="C156" s="8" t="s">
        <v>636</v>
      </c>
      <c r="D156" s="8" t="s">
        <v>644</v>
      </c>
      <c r="E156" s="8" t="s">
        <v>645</v>
      </c>
      <c r="F156" s="10" t="s">
        <v>2</v>
      </c>
      <c r="G156" s="8" t="s">
        <v>614</v>
      </c>
      <c r="H156" s="8" t="s">
        <v>646</v>
      </c>
    </row>
    <row r="157" customFormat="false" ht="15" hidden="false" customHeight="false" outlineLevel="0" collapsed="false">
      <c r="A157" s="8" t="s">
        <v>647</v>
      </c>
      <c r="B157" s="8" t="s">
        <v>44</v>
      </c>
      <c r="C157" s="8" t="s">
        <v>636</v>
      </c>
      <c r="D157" s="8" t="s">
        <v>648</v>
      </c>
      <c r="E157" s="8" t="s">
        <v>649</v>
      </c>
      <c r="F157" s="10" t="s">
        <v>2</v>
      </c>
      <c r="G157" s="8" t="s">
        <v>614</v>
      </c>
      <c r="H157" s="8" t="s">
        <v>650</v>
      </c>
    </row>
    <row r="158" customFormat="false" ht="15" hidden="false" customHeight="false" outlineLevel="0" collapsed="false">
      <c r="A158" s="8" t="s">
        <v>651</v>
      </c>
      <c r="B158" s="8" t="s">
        <v>44</v>
      </c>
      <c r="C158" s="8" t="s">
        <v>636</v>
      </c>
      <c r="D158" s="8" t="s">
        <v>652</v>
      </c>
      <c r="E158" s="8" t="s">
        <v>653</v>
      </c>
      <c r="F158" s="10" t="s">
        <v>2</v>
      </c>
      <c r="G158" s="8" t="s">
        <v>614</v>
      </c>
      <c r="H158" s="8" t="s">
        <v>654</v>
      </c>
    </row>
    <row r="159" customFormat="false" ht="23.85" hidden="false" customHeight="false" outlineLevel="0" collapsed="false">
      <c r="A159" s="8" t="s">
        <v>655</v>
      </c>
      <c r="B159" s="8" t="s">
        <v>44</v>
      </c>
      <c r="C159" s="8" t="s">
        <v>656</v>
      </c>
      <c r="D159" s="8" t="s">
        <v>657</v>
      </c>
      <c r="E159" s="8" t="s">
        <v>658</v>
      </c>
      <c r="F159" s="10" t="s">
        <v>2</v>
      </c>
      <c r="G159" s="8" t="s">
        <v>614</v>
      </c>
      <c r="H159" s="8" t="s">
        <v>659</v>
      </c>
    </row>
    <row r="160" customFormat="false" ht="23.85" hidden="false" customHeight="false" outlineLevel="0" collapsed="false">
      <c r="A160" s="8" t="s">
        <v>660</v>
      </c>
      <c r="B160" s="8" t="s">
        <v>46</v>
      </c>
      <c r="C160" s="8" t="s">
        <v>661</v>
      </c>
      <c r="D160" s="8" t="s">
        <v>662</v>
      </c>
      <c r="E160" s="8" t="s">
        <v>663</v>
      </c>
      <c r="F160" s="10" t="s">
        <v>2</v>
      </c>
      <c r="G160" s="8" t="s">
        <v>614</v>
      </c>
      <c r="H160" s="8" t="s">
        <v>664</v>
      </c>
    </row>
    <row r="161" customFormat="false" ht="15" hidden="false" customHeight="false" outlineLevel="0" collapsed="false">
      <c r="A161" s="8" t="s">
        <v>665</v>
      </c>
      <c r="B161" s="8" t="s">
        <v>48</v>
      </c>
      <c r="C161" s="8" t="s">
        <v>666</v>
      </c>
      <c r="D161" s="8" t="s">
        <v>667</v>
      </c>
      <c r="E161" s="8" t="s">
        <v>668</v>
      </c>
      <c r="F161" s="10" t="s">
        <v>2</v>
      </c>
      <c r="G161" s="8" t="s">
        <v>98</v>
      </c>
      <c r="H161" s="8" t="s">
        <v>669</v>
      </c>
    </row>
    <row r="162" customFormat="false" ht="23.85" hidden="false" customHeight="false" outlineLevel="0" collapsed="false">
      <c r="A162" s="8" t="s">
        <v>670</v>
      </c>
      <c r="B162" s="8" t="s">
        <v>48</v>
      </c>
      <c r="C162" s="8" t="s">
        <v>666</v>
      </c>
      <c r="D162" s="8" t="s">
        <v>671</v>
      </c>
      <c r="E162" s="8" t="s">
        <v>672</v>
      </c>
      <c r="F162" s="10" t="s">
        <v>2</v>
      </c>
      <c r="G162" s="8" t="s">
        <v>98</v>
      </c>
      <c r="H162" s="8" t="s">
        <v>673</v>
      </c>
    </row>
    <row r="163" customFormat="false" ht="15" hidden="false" customHeight="false" outlineLevel="0" collapsed="false">
      <c r="A163" s="8" t="s">
        <v>674</v>
      </c>
      <c r="B163" s="8" t="s">
        <v>48</v>
      </c>
      <c r="C163" s="8" t="s">
        <v>666</v>
      </c>
      <c r="D163" s="8" t="s">
        <v>675</v>
      </c>
      <c r="E163" s="8" t="s">
        <v>676</v>
      </c>
      <c r="F163" s="10" t="s">
        <v>2</v>
      </c>
      <c r="G163" s="8" t="s">
        <v>98</v>
      </c>
      <c r="H163" s="8" t="s">
        <v>98</v>
      </c>
    </row>
    <row r="164" customFormat="false" ht="15" hidden="false" customHeight="false" outlineLevel="0" collapsed="false">
      <c r="A164" s="8" t="s">
        <v>677</v>
      </c>
      <c r="B164" s="8" t="s">
        <v>50</v>
      </c>
      <c r="C164" s="8" t="s">
        <v>678</v>
      </c>
      <c r="D164" s="8" t="s">
        <v>679</v>
      </c>
      <c r="E164" s="8" t="s">
        <v>680</v>
      </c>
      <c r="F164" s="10" t="s">
        <v>2</v>
      </c>
      <c r="G164" s="8" t="s">
        <v>681</v>
      </c>
      <c r="H164" s="8" t="s">
        <v>682</v>
      </c>
    </row>
    <row r="165" customFormat="false" ht="23.85" hidden="false" customHeight="false" outlineLevel="0" collapsed="false">
      <c r="A165" s="8" t="s">
        <v>683</v>
      </c>
      <c r="B165" s="8" t="s">
        <v>50</v>
      </c>
      <c r="C165" s="8" t="s">
        <v>678</v>
      </c>
      <c r="D165" s="8" t="s">
        <v>684</v>
      </c>
      <c r="E165" s="8" t="s">
        <v>685</v>
      </c>
      <c r="F165" s="10" t="s">
        <v>2</v>
      </c>
      <c r="G165" s="8" t="s">
        <v>98</v>
      </c>
      <c r="H165" s="8" t="s">
        <v>686</v>
      </c>
    </row>
    <row r="166" customFormat="false" ht="15" hidden="false" customHeight="false" outlineLevel="0" collapsed="false">
      <c r="A166" s="8" t="s">
        <v>687</v>
      </c>
      <c r="B166" s="8" t="s">
        <v>50</v>
      </c>
      <c r="C166" s="8" t="s">
        <v>688</v>
      </c>
      <c r="D166" s="8" t="s">
        <v>689</v>
      </c>
      <c r="E166" s="8" t="s">
        <v>690</v>
      </c>
      <c r="F166" s="10" t="s">
        <v>2</v>
      </c>
      <c r="G166" s="8" t="s">
        <v>691</v>
      </c>
      <c r="H166" s="8" t="s">
        <v>654</v>
      </c>
    </row>
    <row r="167" customFormat="false" ht="15" hidden="false" customHeight="false" outlineLevel="0" collapsed="false">
      <c r="A167" s="8" t="s">
        <v>692</v>
      </c>
      <c r="B167" s="8" t="s">
        <v>50</v>
      </c>
      <c r="C167" s="8" t="s">
        <v>64</v>
      </c>
      <c r="D167" s="8" t="s">
        <v>693</v>
      </c>
      <c r="E167" s="8" t="s">
        <v>694</v>
      </c>
      <c r="F167" s="10" t="s">
        <v>2</v>
      </c>
      <c r="G167" s="8" t="s">
        <v>98</v>
      </c>
      <c r="H167" s="8" t="s">
        <v>695</v>
      </c>
    </row>
    <row r="168" customFormat="false" ht="15" hidden="false" customHeight="false" outlineLevel="0" collapsed="false">
      <c r="A168" s="8" t="s">
        <v>696</v>
      </c>
      <c r="B168" s="8" t="s">
        <v>50</v>
      </c>
      <c r="C168" s="8" t="s">
        <v>697</v>
      </c>
      <c r="D168" s="8" t="s">
        <v>698</v>
      </c>
      <c r="E168" s="8" t="s">
        <v>699</v>
      </c>
      <c r="F168" s="10" t="s">
        <v>2</v>
      </c>
      <c r="G168" s="8" t="s">
        <v>98</v>
      </c>
      <c r="H168" s="8" t="s">
        <v>98</v>
      </c>
    </row>
    <row r="169" customFormat="false" ht="23.85" hidden="false" customHeight="false" outlineLevel="0" collapsed="false">
      <c r="A169" s="8" t="s">
        <v>700</v>
      </c>
      <c r="B169" s="8" t="s">
        <v>52</v>
      </c>
      <c r="C169" s="8" t="s">
        <v>64</v>
      </c>
      <c r="D169" s="8" t="s">
        <v>701</v>
      </c>
      <c r="E169" s="8" t="s">
        <v>702</v>
      </c>
      <c r="F169" s="10" t="s">
        <v>2</v>
      </c>
      <c r="G169" s="8" t="s">
        <v>98</v>
      </c>
      <c r="H169" s="8" t="s">
        <v>98</v>
      </c>
    </row>
    <row r="170" customFormat="false" ht="15" hidden="false" customHeight="false" outlineLevel="0" collapsed="false">
      <c r="A170" s="8" t="s">
        <v>703</v>
      </c>
      <c r="B170" s="8" t="s">
        <v>52</v>
      </c>
      <c r="C170" s="8" t="s">
        <v>64</v>
      </c>
      <c r="D170" s="8" t="s">
        <v>704</v>
      </c>
      <c r="E170" s="8" t="s">
        <v>705</v>
      </c>
      <c r="F170" s="10" t="s">
        <v>2</v>
      </c>
      <c r="G170" s="8" t="s">
        <v>98</v>
      </c>
      <c r="H170" s="8" t="s">
        <v>706</v>
      </c>
    </row>
    <row r="171" customFormat="false" ht="23.85" hidden="false" customHeight="false" outlineLevel="0" collapsed="false">
      <c r="A171" s="8" t="s">
        <v>707</v>
      </c>
      <c r="B171" s="8" t="s">
        <v>54</v>
      </c>
      <c r="C171" s="8" t="s">
        <v>708</v>
      </c>
      <c r="D171" s="8" t="s">
        <v>709</v>
      </c>
      <c r="E171" s="8" t="s">
        <v>710</v>
      </c>
      <c r="F171" s="10" t="s">
        <v>2</v>
      </c>
      <c r="G171" s="8" t="s">
        <v>711</v>
      </c>
      <c r="H171" s="8" t="s">
        <v>98</v>
      </c>
    </row>
    <row r="172" customFormat="false" ht="35.05" hidden="false" customHeight="false" outlineLevel="0" collapsed="false">
      <c r="A172" s="8" t="s">
        <v>712</v>
      </c>
      <c r="B172" s="8" t="s">
        <v>54</v>
      </c>
      <c r="C172" s="8" t="s">
        <v>708</v>
      </c>
      <c r="D172" s="8" t="s">
        <v>713</v>
      </c>
      <c r="E172" s="8" t="s">
        <v>714</v>
      </c>
      <c r="F172" s="10" t="s">
        <v>2</v>
      </c>
      <c r="G172" s="8" t="s">
        <v>347</v>
      </c>
      <c r="H172" s="8" t="s">
        <v>715</v>
      </c>
    </row>
    <row r="173" customFormat="false" ht="23.85" hidden="false" customHeight="false" outlineLevel="0" collapsed="false">
      <c r="A173" s="8" t="s">
        <v>716</v>
      </c>
      <c r="B173" s="8" t="s">
        <v>54</v>
      </c>
      <c r="C173" s="8" t="s">
        <v>708</v>
      </c>
      <c r="D173" s="8" t="s">
        <v>717</v>
      </c>
      <c r="E173" s="8" t="s">
        <v>718</v>
      </c>
      <c r="F173" s="10" t="s">
        <v>2</v>
      </c>
      <c r="G173" s="8" t="s">
        <v>614</v>
      </c>
      <c r="H173" s="8" t="s">
        <v>98</v>
      </c>
    </row>
    <row r="174" customFormat="false" ht="15" hidden="false" customHeight="false" outlineLevel="0" collapsed="false">
      <c r="A174" s="8" t="s">
        <v>719</v>
      </c>
      <c r="B174" s="8" t="s">
        <v>54</v>
      </c>
      <c r="C174" s="8" t="s">
        <v>708</v>
      </c>
      <c r="D174" s="8" t="s">
        <v>720</v>
      </c>
      <c r="E174" s="8" t="s">
        <v>721</v>
      </c>
      <c r="F174" s="10" t="s">
        <v>2</v>
      </c>
      <c r="G174" s="8" t="s">
        <v>711</v>
      </c>
      <c r="H174" s="8" t="s">
        <v>98</v>
      </c>
    </row>
    <row r="175" customFormat="false" ht="23.85" hidden="false" customHeight="false" outlineLevel="0" collapsed="false">
      <c r="A175" s="8" t="s">
        <v>722</v>
      </c>
      <c r="B175" s="8" t="s">
        <v>54</v>
      </c>
      <c r="C175" s="8" t="s">
        <v>697</v>
      </c>
      <c r="D175" s="8" t="s">
        <v>723</v>
      </c>
      <c r="E175" s="8" t="s">
        <v>724</v>
      </c>
      <c r="F175" s="10" t="s">
        <v>2</v>
      </c>
      <c r="G175" s="8" t="s">
        <v>711</v>
      </c>
      <c r="H175" s="8" t="s">
        <v>725</v>
      </c>
    </row>
    <row r="176" customFormat="false" ht="15" hidden="false" customHeight="false" outlineLevel="0" collapsed="false">
      <c r="A176" s="8" t="s">
        <v>726</v>
      </c>
      <c r="B176" s="8" t="s">
        <v>56</v>
      </c>
      <c r="C176" s="8" t="s">
        <v>697</v>
      </c>
      <c r="D176" s="8" t="s">
        <v>727</v>
      </c>
      <c r="E176" s="8" t="s">
        <v>728</v>
      </c>
      <c r="F176" s="10" t="s">
        <v>2</v>
      </c>
      <c r="G176" s="8" t="s">
        <v>711</v>
      </c>
      <c r="H176" s="8" t="s">
        <v>98</v>
      </c>
    </row>
    <row r="177" customFormat="false" ht="35.05" hidden="false" customHeight="false" outlineLevel="0" collapsed="false">
      <c r="A177" s="8" t="s">
        <v>729</v>
      </c>
      <c r="B177" s="8" t="s">
        <v>56</v>
      </c>
      <c r="C177" s="8" t="s">
        <v>64</v>
      </c>
      <c r="D177" s="8" t="s">
        <v>730</v>
      </c>
      <c r="E177" s="8" t="s">
        <v>731</v>
      </c>
      <c r="F177" s="10" t="s">
        <v>2</v>
      </c>
      <c r="G177" s="8" t="s">
        <v>711</v>
      </c>
      <c r="H177" s="8" t="s">
        <v>732</v>
      </c>
    </row>
    <row r="178" customFormat="false" ht="23.85" hidden="false" customHeight="false" outlineLevel="0" collapsed="false">
      <c r="A178" s="8" t="s">
        <v>733</v>
      </c>
      <c r="B178" s="8" t="s">
        <v>56</v>
      </c>
      <c r="C178" s="8" t="s">
        <v>64</v>
      </c>
      <c r="D178" s="8" t="s">
        <v>734</v>
      </c>
      <c r="E178" s="8" t="s">
        <v>735</v>
      </c>
      <c r="F178" s="10" t="s">
        <v>2</v>
      </c>
      <c r="G178" s="8" t="s">
        <v>711</v>
      </c>
      <c r="H178" s="8" t="s">
        <v>736</v>
      </c>
    </row>
    <row r="179" customFormat="false" ht="23.85" hidden="false" customHeight="false" outlineLevel="0" collapsed="false">
      <c r="A179" s="8" t="s">
        <v>737</v>
      </c>
      <c r="B179" s="8" t="s">
        <v>58</v>
      </c>
      <c r="C179" s="8" t="s">
        <v>738</v>
      </c>
      <c r="D179" s="8" t="s">
        <v>739</v>
      </c>
      <c r="E179" s="8" t="s">
        <v>740</v>
      </c>
      <c r="F179" s="10" t="s">
        <v>2</v>
      </c>
      <c r="G179" s="8" t="s">
        <v>711</v>
      </c>
      <c r="H179" s="8" t="s">
        <v>741</v>
      </c>
    </row>
    <row r="180" customFormat="false" ht="23.85" hidden="false" customHeight="false" outlineLevel="0" collapsed="false">
      <c r="A180" s="8" t="s">
        <v>742</v>
      </c>
      <c r="B180" s="8" t="s">
        <v>60</v>
      </c>
      <c r="C180" s="8" t="s">
        <v>743</v>
      </c>
      <c r="D180" s="8" t="s">
        <v>744</v>
      </c>
      <c r="E180" s="8" t="s">
        <v>745</v>
      </c>
      <c r="F180" s="10" t="s">
        <v>2</v>
      </c>
      <c r="G180" s="8" t="s">
        <v>746</v>
      </c>
      <c r="H180" s="8" t="s">
        <v>747</v>
      </c>
    </row>
    <row r="181" customFormat="false" ht="15" hidden="false" customHeight="false" outlineLevel="0" collapsed="false">
      <c r="A181" s="8" t="s">
        <v>748</v>
      </c>
      <c r="B181" s="8" t="s">
        <v>62</v>
      </c>
      <c r="C181" s="8" t="s">
        <v>62</v>
      </c>
      <c r="D181" s="8" t="s">
        <v>749</v>
      </c>
      <c r="E181" s="8" t="s">
        <v>750</v>
      </c>
      <c r="F181" s="10" t="s">
        <v>2</v>
      </c>
      <c r="G181" s="8" t="s">
        <v>711</v>
      </c>
      <c r="H181" s="8" t="s">
        <v>751</v>
      </c>
    </row>
    <row r="182" customFormat="false" ht="15" hidden="false" customHeight="false" outlineLevel="0" collapsed="false">
      <c r="A182" s="8" t="s">
        <v>752</v>
      </c>
      <c r="B182" s="8" t="s">
        <v>62</v>
      </c>
      <c r="C182" s="8" t="s">
        <v>62</v>
      </c>
      <c r="D182" s="8" t="s">
        <v>753</v>
      </c>
      <c r="E182" s="8" t="s">
        <v>754</v>
      </c>
      <c r="F182" s="10" t="s">
        <v>2</v>
      </c>
      <c r="G182" s="8" t="s">
        <v>711</v>
      </c>
      <c r="H182" s="8" t="s">
        <v>98</v>
      </c>
    </row>
    <row r="183" customFormat="false" ht="15" hidden="false" customHeight="false" outlineLevel="0" collapsed="false">
      <c r="A183" s="8" t="s">
        <v>755</v>
      </c>
      <c r="B183" s="8" t="s">
        <v>62</v>
      </c>
      <c r="C183" s="8" t="s">
        <v>62</v>
      </c>
      <c r="D183" s="8" t="s">
        <v>756</v>
      </c>
      <c r="E183" s="8" t="s">
        <v>757</v>
      </c>
      <c r="F183" s="10" t="s">
        <v>2</v>
      </c>
      <c r="G183" s="8" t="s">
        <v>758</v>
      </c>
      <c r="H183" s="8" t="s">
        <v>759</v>
      </c>
    </row>
    <row r="184" customFormat="false" ht="23.85" hidden="false" customHeight="false" outlineLevel="0" collapsed="false">
      <c r="A184" s="8" t="s">
        <v>760</v>
      </c>
      <c r="B184" s="8" t="s">
        <v>62</v>
      </c>
      <c r="C184" s="8" t="s">
        <v>64</v>
      </c>
      <c r="D184" s="8" t="s">
        <v>761</v>
      </c>
      <c r="E184" s="8" t="s">
        <v>762</v>
      </c>
      <c r="F184" s="10" t="s">
        <v>2</v>
      </c>
      <c r="G184" s="8" t="s">
        <v>98</v>
      </c>
      <c r="H184" s="8" t="s">
        <v>98</v>
      </c>
    </row>
    <row r="185" customFormat="false" ht="15" hidden="false" customHeight="false" outlineLevel="0" collapsed="false">
      <c r="A185" s="8" t="s">
        <v>763</v>
      </c>
      <c r="B185" s="8" t="s">
        <v>64</v>
      </c>
      <c r="C185" s="8" t="s">
        <v>764</v>
      </c>
      <c r="D185" s="8" t="s">
        <v>765</v>
      </c>
      <c r="E185" s="8" t="s">
        <v>766</v>
      </c>
      <c r="F185" s="10" t="s">
        <v>2</v>
      </c>
      <c r="G185" s="8" t="s">
        <v>98</v>
      </c>
      <c r="H185" s="8" t="s">
        <v>98</v>
      </c>
    </row>
    <row r="186" customFormat="false" ht="23.85" hidden="false" customHeight="false" outlineLevel="0" collapsed="false">
      <c r="A186" s="8" t="s">
        <v>767</v>
      </c>
      <c r="B186" s="8" t="s">
        <v>64</v>
      </c>
      <c r="C186" s="8" t="s">
        <v>764</v>
      </c>
      <c r="D186" s="8" t="s">
        <v>768</v>
      </c>
      <c r="E186" s="8" t="s">
        <v>769</v>
      </c>
      <c r="F186" s="10" t="s">
        <v>2</v>
      </c>
      <c r="G186" s="8" t="s">
        <v>98</v>
      </c>
      <c r="H186" s="8" t="s">
        <v>98</v>
      </c>
    </row>
    <row r="187" customFormat="false" ht="15" hidden="false" customHeight="false" outlineLevel="0" collapsed="false">
      <c r="A187" s="8" t="s">
        <v>770</v>
      </c>
      <c r="B187" s="8" t="s">
        <v>64</v>
      </c>
      <c r="C187" s="8" t="s">
        <v>771</v>
      </c>
      <c r="D187" s="8" t="s">
        <v>772</v>
      </c>
      <c r="E187" s="8" t="s">
        <v>773</v>
      </c>
      <c r="F187" s="10" t="s">
        <v>2</v>
      </c>
      <c r="G187" s="8" t="s">
        <v>98</v>
      </c>
      <c r="H187" s="8" t="s">
        <v>774</v>
      </c>
    </row>
    <row r="188" customFormat="false" ht="23.85" hidden="false" customHeight="false" outlineLevel="0" collapsed="false">
      <c r="A188" s="8" t="s">
        <v>775</v>
      </c>
      <c r="B188" s="8" t="s">
        <v>64</v>
      </c>
      <c r="C188" s="8" t="s">
        <v>771</v>
      </c>
      <c r="D188" s="8" t="s">
        <v>776</v>
      </c>
      <c r="E188" s="8" t="s">
        <v>777</v>
      </c>
      <c r="F188" s="10" t="s">
        <v>2</v>
      </c>
      <c r="G188" s="8" t="s">
        <v>98</v>
      </c>
      <c r="H188" s="8" t="s">
        <v>778</v>
      </c>
    </row>
    <row r="189" customFormat="false" ht="23.85" hidden="false" customHeight="false" outlineLevel="0" collapsed="false">
      <c r="A189" s="8" t="s">
        <v>779</v>
      </c>
      <c r="B189" s="8" t="s">
        <v>66</v>
      </c>
      <c r="C189" s="8" t="s">
        <v>780</v>
      </c>
      <c r="D189" s="8" t="s">
        <v>781</v>
      </c>
      <c r="E189" s="8" t="s">
        <v>782</v>
      </c>
      <c r="F189" s="10" t="s">
        <v>2</v>
      </c>
      <c r="G189" s="8" t="s">
        <v>98</v>
      </c>
      <c r="H189" s="8" t="s">
        <v>98</v>
      </c>
    </row>
    <row r="190" customFormat="false" ht="15" hidden="false" customHeight="false" outlineLevel="0" collapsed="false">
      <c r="A190" s="8" t="s">
        <v>783</v>
      </c>
      <c r="B190" s="8" t="s">
        <v>66</v>
      </c>
      <c r="C190" s="8" t="s">
        <v>780</v>
      </c>
      <c r="D190" s="8" t="s">
        <v>784</v>
      </c>
      <c r="E190" s="8" t="s">
        <v>785</v>
      </c>
      <c r="F190" s="10" t="s">
        <v>2</v>
      </c>
      <c r="G190" s="8" t="s">
        <v>98</v>
      </c>
      <c r="H190" s="8" t="s">
        <v>786</v>
      </c>
    </row>
    <row r="191" customFormat="false" ht="23.85" hidden="false" customHeight="false" outlineLevel="0" collapsed="false">
      <c r="A191" s="8" t="s">
        <v>787</v>
      </c>
      <c r="B191" s="8" t="s">
        <v>66</v>
      </c>
      <c r="C191" s="8" t="s">
        <v>780</v>
      </c>
      <c r="D191" s="8" t="s">
        <v>788</v>
      </c>
      <c r="E191" s="8" t="s">
        <v>789</v>
      </c>
      <c r="F191" s="10" t="s">
        <v>2</v>
      </c>
      <c r="G191" s="8" t="s">
        <v>98</v>
      </c>
      <c r="H191" s="8" t="s">
        <v>98</v>
      </c>
    </row>
    <row r="192" customFormat="false" ht="23.85" hidden="false" customHeight="false" outlineLevel="0" collapsed="false">
      <c r="A192" s="8" t="s">
        <v>790</v>
      </c>
      <c r="B192" s="8" t="s">
        <v>66</v>
      </c>
      <c r="C192" s="8" t="s">
        <v>780</v>
      </c>
      <c r="D192" s="8" t="s">
        <v>791</v>
      </c>
      <c r="E192" s="8" t="s">
        <v>792</v>
      </c>
      <c r="F192" s="10" t="s">
        <v>2</v>
      </c>
      <c r="G192" s="8" t="s">
        <v>98</v>
      </c>
      <c r="H192" s="8" t="s">
        <v>98</v>
      </c>
    </row>
    <row r="193" customFormat="false" ht="23.85" hidden="false" customHeight="false" outlineLevel="0" collapsed="false">
      <c r="A193" s="8" t="s">
        <v>793</v>
      </c>
      <c r="B193" s="8" t="s">
        <v>66</v>
      </c>
      <c r="C193" s="8" t="s">
        <v>780</v>
      </c>
      <c r="D193" s="8" t="s">
        <v>794</v>
      </c>
      <c r="E193" s="8" t="s">
        <v>795</v>
      </c>
      <c r="F193" s="10" t="s">
        <v>2</v>
      </c>
      <c r="G193" s="8" t="s">
        <v>98</v>
      </c>
      <c r="H193" s="8" t="s">
        <v>98</v>
      </c>
    </row>
    <row r="194" customFormat="false" ht="23.85" hidden="false" customHeight="false" outlineLevel="0" collapsed="false">
      <c r="A194" s="8" t="s">
        <v>796</v>
      </c>
      <c r="B194" s="8" t="s">
        <v>68</v>
      </c>
      <c r="C194" s="8" t="s">
        <v>708</v>
      </c>
      <c r="D194" s="8" t="s">
        <v>797</v>
      </c>
      <c r="E194" s="8" t="s">
        <v>798</v>
      </c>
      <c r="F194" s="10" t="s">
        <v>2</v>
      </c>
      <c r="G194" s="8" t="s">
        <v>711</v>
      </c>
      <c r="H194" s="8" t="s">
        <v>799</v>
      </c>
    </row>
    <row r="195" customFormat="false" ht="35.05" hidden="false" customHeight="false" outlineLevel="0" collapsed="false">
      <c r="A195" s="8" t="s">
        <v>800</v>
      </c>
      <c r="B195" s="8" t="s">
        <v>68</v>
      </c>
      <c r="C195" s="8" t="s">
        <v>66</v>
      </c>
      <c r="D195" s="8" t="s">
        <v>801</v>
      </c>
      <c r="E195" s="8" t="s">
        <v>802</v>
      </c>
      <c r="F195" s="10" t="s">
        <v>2</v>
      </c>
      <c r="G195" s="8" t="s">
        <v>98</v>
      </c>
      <c r="H195" s="8" t="s">
        <v>803</v>
      </c>
    </row>
    <row r="196" customFormat="false" ht="23.85" hidden="false" customHeight="false" outlineLevel="0" collapsed="false">
      <c r="A196" s="8" t="s">
        <v>804</v>
      </c>
      <c r="B196" s="8" t="s">
        <v>68</v>
      </c>
      <c r="C196" s="8" t="s">
        <v>805</v>
      </c>
      <c r="D196" s="8" t="s">
        <v>806</v>
      </c>
      <c r="E196" s="8" t="s">
        <v>807</v>
      </c>
      <c r="F196" s="10" t="s">
        <v>2</v>
      </c>
      <c r="G196" s="8" t="s">
        <v>291</v>
      </c>
      <c r="H196" s="8" t="s">
        <v>808</v>
      </c>
    </row>
    <row r="197" customFormat="false" ht="23.85" hidden="false" customHeight="false" outlineLevel="0" collapsed="false">
      <c r="A197" s="8" t="s">
        <v>809</v>
      </c>
      <c r="B197" s="8" t="s">
        <v>68</v>
      </c>
      <c r="C197" s="8" t="s">
        <v>805</v>
      </c>
      <c r="D197" s="8" t="s">
        <v>810</v>
      </c>
      <c r="E197" s="8" t="s">
        <v>811</v>
      </c>
      <c r="F197" s="10" t="s">
        <v>2</v>
      </c>
      <c r="G197" s="8" t="s">
        <v>291</v>
      </c>
      <c r="H197" s="8" t="s">
        <v>812</v>
      </c>
    </row>
    <row r="198" customFormat="false" ht="35.05" hidden="false" customHeight="false" outlineLevel="0" collapsed="false">
      <c r="A198" s="8" t="s">
        <v>813</v>
      </c>
      <c r="B198" s="8" t="s">
        <v>68</v>
      </c>
      <c r="C198" s="8" t="s">
        <v>805</v>
      </c>
      <c r="D198" s="8" t="s">
        <v>814</v>
      </c>
      <c r="E198" s="8" t="s">
        <v>815</v>
      </c>
      <c r="F198" s="10" t="s">
        <v>2</v>
      </c>
      <c r="G198" s="8" t="s">
        <v>98</v>
      </c>
      <c r="H198" s="8" t="s">
        <v>98</v>
      </c>
    </row>
    <row r="199" customFormat="false" ht="23.85" hidden="false" customHeight="false" outlineLevel="0" collapsed="false">
      <c r="A199" s="8" t="s">
        <v>816</v>
      </c>
      <c r="B199" s="8" t="s">
        <v>68</v>
      </c>
      <c r="C199" s="8" t="s">
        <v>805</v>
      </c>
      <c r="D199" s="8" t="s">
        <v>817</v>
      </c>
      <c r="E199" s="8" t="s">
        <v>818</v>
      </c>
      <c r="F199" s="10" t="s">
        <v>2</v>
      </c>
      <c r="G199" s="8" t="s">
        <v>291</v>
      </c>
      <c r="H199" s="8" t="s">
        <v>98</v>
      </c>
    </row>
    <row r="200" customFormat="false" ht="23.85" hidden="false" customHeight="false" outlineLevel="0" collapsed="false">
      <c r="A200" s="8" t="s">
        <v>819</v>
      </c>
      <c r="B200" s="8" t="s">
        <v>68</v>
      </c>
      <c r="C200" s="8" t="s">
        <v>820</v>
      </c>
      <c r="D200" s="8" t="s">
        <v>821</v>
      </c>
      <c r="E200" s="8" t="s">
        <v>822</v>
      </c>
      <c r="F200" s="10" t="s">
        <v>2</v>
      </c>
      <c r="G200" s="8" t="s">
        <v>98</v>
      </c>
      <c r="H200" s="8" t="s">
        <v>823</v>
      </c>
    </row>
    <row r="201" customFormat="false" ht="23.85" hidden="false" customHeight="false" outlineLevel="0" collapsed="false">
      <c r="A201" s="8" t="s">
        <v>824</v>
      </c>
      <c r="B201" s="8" t="s">
        <v>68</v>
      </c>
      <c r="C201" s="8" t="s">
        <v>820</v>
      </c>
      <c r="D201" s="8" t="s">
        <v>825</v>
      </c>
      <c r="E201" s="8" t="s">
        <v>826</v>
      </c>
      <c r="F201" s="10" t="s">
        <v>2</v>
      </c>
      <c r="G201" s="8" t="s">
        <v>98</v>
      </c>
      <c r="H201" s="8" t="s">
        <v>827</v>
      </c>
    </row>
    <row r="202" customFormat="false" ht="23.85" hidden="false" customHeight="false" outlineLevel="0" collapsed="false">
      <c r="A202" s="8" t="s">
        <v>828</v>
      </c>
      <c r="B202" s="8" t="s">
        <v>68</v>
      </c>
      <c r="C202" s="8" t="s">
        <v>820</v>
      </c>
      <c r="D202" s="8" t="s">
        <v>829</v>
      </c>
      <c r="E202" s="8" t="s">
        <v>830</v>
      </c>
      <c r="F202" s="10" t="s">
        <v>2</v>
      </c>
      <c r="G202" s="8" t="s">
        <v>98</v>
      </c>
      <c r="H202" s="8" t="s">
        <v>831</v>
      </c>
    </row>
    <row r="203" customFormat="false" ht="23.85" hidden="false" customHeight="false" outlineLevel="0" collapsed="false">
      <c r="A203" s="8" t="s">
        <v>832</v>
      </c>
      <c r="B203" s="8" t="s">
        <v>68</v>
      </c>
      <c r="C203" s="8" t="s">
        <v>820</v>
      </c>
      <c r="D203" s="8" t="s">
        <v>833</v>
      </c>
      <c r="E203" s="8" t="s">
        <v>834</v>
      </c>
      <c r="F203" s="10" t="s">
        <v>2</v>
      </c>
      <c r="G203" s="8" t="s">
        <v>98</v>
      </c>
      <c r="H203" s="8" t="s">
        <v>835</v>
      </c>
    </row>
    <row r="204" customFormat="false" ht="23.85" hidden="false" customHeight="false" outlineLevel="0" collapsed="false">
      <c r="A204" s="8" t="s">
        <v>836</v>
      </c>
      <c r="B204" s="8" t="s">
        <v>68</v>
      </c>
      <c r="C204" s="8" t="s">
        <v>820</v>
      </c>
      <c r="D204" s="8" t="s">
        <v>837</v>
      </c>
      <c r="E204" s="8" t="s">
        <v>838</v>
      </c>
      <c r="F204" s="10" t="s">
        <v>2</v>
      </c>
      <c r="G204" s="8" t="s">
        <v>711</v>
      </c>
      <c r="H204" s="8" t="s">
        <v>839</v>
      </c>
    </row>
    <row r="205" customFormat="false" ht="23.85" hidden="false" customHeight="false" outlineLevel="0" collapsed="false">
      <c r="A205" s="8" t="s">
        <v>840</v>
      </c>
      <c r="B205" s="8" t="s">
        <v>68</v>
      </c>
      <c r="C205" s="8" t="s">
        <v>841</v>
      </c>
      <c r="D205" s="8" t="s">
        <v>842</v>
      </c>
      <c r="E205" s="8" t="s">
        <v>843</v>
      </c>
      <c r="F205" s="10" t="s">
        <v>2</v>
      </c>
      <c r="G205" s="8" t="s">
        <v>711</v>
      </c>
      <c r="H205" s="8" t="s">
        <v>844</v>
      </c>
    </row>
    <row r="206" customFormat="false" ht="23.85" hidden="false" customHeight="false" outlineLevel="0" collapsed="false">
      <c r="A206" s="8" t="s">
        <v>845</v>
      </c>
      <c r="B206" s="8" t="s">
        <v>68</v>
      </c>
      <c r="C206" s="8" t="s">
        <v>841</v>
      </c>
      <c r="D206" s="8" t="s">
        <v>846</v>
      </c>
      <c r="E206" s="8" t="s">
        <v>847</v>
      </c>
      <c r="F206" s="10" t="s">
        <v>2</v>
      </c>
      <c r="G206" s="8" t="s">
        <v>711</v>
      </c>
      <c r="H206" s="8" t="s">
        <v>98</v>
      </c>
    </row>
    <row r="207" customFormat="false" ht="23.85" hidden="false" customHeight="false" outlineLevel="0" collapsed="false">
      <c r="A207" s="8" t="s">
        <v>848</v>
      </c>
      <c r="B207" s="8" t="s">
        <v>68</v>
      </c>
      <c r="C207" s="8" t="s">
        <v>841</v>
      </c>
      <c r="D207" s="8" t="s">
        <v>849</v>
      </c>
      <c r="E207" s="8" t="s">
        <v>850</v>
      </c>
      <c r="F207" s="10" t="s">
        <v>2</v>
      </c>
      <c r="G207" s="8" t="s">
        <v>711</v>
      </c>
      <c r="H207" s="8" t="s">
        <v>98</v>
      </c>
    </row>
    <row r="208" customFormat="false" ht="23.85" hidden="false" customHeight="false" outlineLevel="0" collapsed="false">
      <c r="A208" s="8" t="s">
        <v>851</v>
      </c>
      <c r="B208" s="8" t="s">
        <v>68</v>
      </c>
      <c r="C208" s="8" t="s">
        <v>841</v>
      </c>
      <c r="D208" s="8" t="s">
        <v>852</v>
      </c>
      <c r="E208" s="8" t="s">
        <v>853</v>
      </c>
      <c r="F208" s="10" t="s">
        <v>2</v>
      </c>
      <c r="G208" s="8" t="s">
        <v>711</v>
      </c>
      <c r="H208" s="8" t="s">
        <v>854</v>
      </c>
    </row>
    <row r="209" customFormat="false" ht="23.85" hidden="false" customHeight="false" outlineLevel="0" collapsed="false">
      <c r="A209" s="8" t="s">
        <v>855</v>
      </c>
      <c r="B209" s="8" t="s">
        <v>68</v>
      </c>
      <c r="C209" s="8" t="s">
        <v>841</v>
      </c>
      <c r="D209" s="8" t="s">
        <v>856</v>
      </c>
      <c r="E209" s="8" t="s">
        <v>857</v>
      </c>
      <c r="F209" s="10" t="s">
        <v>2</v>
      </c>
      <c r="G209" s="8" t="s">
        <v>711</v>
      </c>
      <c r="H209" s="8" t="s">
        <v>858</v>
      </c>
    </row>
    <row r="210" customFormat="false" ht="23.85" hidden="false" customHeight="false" outlineLevel="0" collapsed="false">
      <c r="A210" s="8" t="s">
        <v>859</v>
      </c>
      <c r="B210" s="8" t="s">
        <v>34</v>
      </c>
      <c r="C210" s="8" t="s">
        <v>558</v>
      </c>
      <c r="D210" s="8" t="s">
        <v>860</v>
      </c>
      <c r="E210" s="8" t="s">
        <v>861</v>
      </c>
      <c r="F210" s="10" t="s">
        <v>2</v>
      </c>
      <c r="G210" s="8" t="s">
        <v>291</v>
      </c>
      <c r="H210" s="8" t="s">
        <v>862</v>
      </c>
    </row>
    <row r="211" customFormat="false" ht="23.85" hidden="false" customHeight="false" outlineLevel="0" collapsed="false">
      <c r="A211" s="8" t="s">
        <v>863</v>
      </c>
      <c r="B211" s="8" t="s">
        <v>34</v>
      </c>
      <c r="C211" s="8" t="s">
        <v>558</v>
      </c>
      <c r="D211" s="8" t="s">
        <v>864</v>
      </c>
      <c r="E211" s="8" t="s">
        <v>865</v>
      </c>
      <c r="F211" s="10" t="s">
        <v>2</v>
      </c>
      <c r="G211" s="8" t="s">
        <v>291</v>
      </c>
      <c r="H211" s="8" t="s">
        <v>866</v>
      </c>
    </row>
    <row r="212" customFormat="false" ht="23.85" hidden="false" customHeight="false" outlineLevel="0" collapsed="false">
      <c r="A212" s="8" t="s">
        <v>867</v>
      </c>
      <c r="B212" s="8" t="s">
        <v>34</v>
      </c>
      <c r="C212" s="8" t="s">
        <v>558</v>
      </c>
      <c r="D212" s="8" t="s">
        <v>868</v>
      </c>
      <c r="E212" s="8" t="s">
        <v>869</v>
      </c>
      <c r="F212" s="10" t="s">
        <v>2</v>
      </c>
      <c r="G212" s="8" t="s">
        <v>291</v>
      </c>
      <c r="H212" s="8" t="s">
        <v>870</v>
      </c>
    </row>
    <row r="213" customFormat="false" ht="23.85" hidden="false" customHeight="false" outlineLevel="0" collapsed="false">
      <c r="A213" s="8" t="s">
        <v>871</v>
      </c>
      <c r="B213" s="8" t="s">
        <v>34</v>
      </c>
      <c r="C213" s="8" t="s">
        <v>558</v>
      </c>
      <c r="D213" s="8" t="s">
        <v>872</v>
      </c>
      <c r="E213" s="8" t="s">
        <v>873</v>
      </c>
      <c r="F213" s="10" t="s">
        <v>2</v>
      </c>
      <c r="G213" s="8" t="s">
        <v>98</v>
      </c>
      <c r="H213" s="8" t="s">
        <v>874</v>
      </c>
    </row>
    <row r="214" customFormat="false" ht="23.85" hidden="false" customHeight="false" outlineLevel="0" collapsed="false">
      <c r="A214" s="8" t="s">
        <v>875</v>
      </c>
      <c r="B214" s="8" t="s">
        <v>34</v>
      </c>
      <c r="C214" s="8" t="s">
        <v>558</v>
      </c>
      <c r="D214" s="8" t="s">
        <v>876</v>
      </c>
      <c r="E214" s="8" t="s">
        <v>877</v>
      </c>
      <c r="F214" s="10" t="s">
        <v>2</v>
      </c>
      <c r="G214" s="8" t="s">
        <v>98</v>
      </c>
      <c r="H214" s="8" t="s">
        <v>878</v>
      </c>
    </row>
    <row r="215" customFormat="false" ht="23.85" hidden="false" customHeight="false" outlineLevel="0" collapsed="false">
      <c r="A215" s="8" t="s">
        <v>879</v>
      </c>
      <c r="B215" s="8" t="s">
        <v>34</v>
      </c>
      <c r="C215" s="8" t="s">
        <v>558</v>
      </c>
      <c r="D215" s="8" t="s">
        <v>880</v>
      </c>
      <c r="E215" s="8" t="s">
        <v>881</v>
      </c>
      <c r="F215" s="10" t="s">
        <v>2</v>
      </c>
      <c r="G215" s="8" t="s">
        <v>98</v>
      </c>
      <c r="H215" s="8" t="s">
        <v>882</v>
      </c>
    </row>
    <row r="216" customFormat="false" ht="15" hidden="false" customHeight="false" outlineLevel="0" collapsed="false">
      <c r="A216" s="8" t="s">
        <v>883</v>
      </c>
      <c r="B216" s="8" t="s">
        <v>34</v>
      </c>
      <c r="C216" s="8" t="s">
        <v>558</v>
      </c>
      <c r="D216" s="8" t="s">
        <v>884</v>
      </c>
      <c r="E216" s="8" t="s">
        <v>885</v>
      </c>
      <c r="F216" s="10" t="s">
        <v>2</v>
      </c>
      <c r="G216" s="8" t="s">
        <v>98</v>
      </c>
      <c r="H216" s="8" t="s">
        <v>886</v>
      </c>
    </row>
    <row r="217" customFormat="false" ht="23.85" hidden="false" customHeight="false" outlineLevel="0" collapsed="false">
      <c r="A217" s="8" t="s">
        <v>887</v>
      </c>
      <c r="B217" s="8" t="s">
        <v>56</v>
      </c>
      <c r="C217" s="8" t="s">
        <v>64</v>
      </c>
      <c r="D217" s="8" t="s">
        <v>888</v>
      </c>
      <c r="E217" s="8" t="s">
        <v>889</v>
      </c>
      <c r="F217" s="10" t="s">
        <v>2</v>
      </c>
      <c r="G217" s="8" t="s">
        <v>711</v>
      </c>
      <c r="H217" s="8" t="s">
        <v>890</v>
      </c>
    </row>
    <row r="218" customFormat="false" ht="23.85" hidden="false" customHeight="false" outlineLevel="0" collapsed="false">
      <c r="A218" s="8" t="s">
        <v>891</v>
      </c>
      <c r="B218" s="8" t="s">
        <v>34</v>
      </c>
      <c r="C218" s="8" t="s">
        <v>505</v>
      </c>
      <c r="D218" s="8" t="s">
        <v>892</v>
      </c>
      <c r="E218" s="8" t="s">
        <v>893</v>
      </c>
      <c r="F218" s="10" t="s">
        <v>2</v>
      </c>
      <c r="G218" s="8" t="s">
        <v>711</v>
      </c>
      <c r="H218" s="8" t="s">
        <v>894</v>
      </c>
    </row>
    <row r="219" customFormat="false" ht="23.85" hidden="false" customHeight="false" outlineLevel="0" collapsed="false">
      <c r="A219" s="8" t="s">
        <v>895</v>
      </c>
      <c r="B219" s="8" t="s">
        <v>68</v>
      </c>
      <c r="C219" s="8" t="s">
        <v>805</v>
      </c>
      <c r="D219" s="8" t="s">
        <v>896</v>
      </c>
      <c r="E219" s="8" t="s">
        <v>897</v>
      </c>
      <c r="F219" s="10" t="s">
        <v>2</v>
      </c>
      <c r="G219" s="8" t="s">
        <v>98</v>
      </c>
      <c r="H219" s="8" t="s">
        <v>898</v>
      </c>
    </row>
    <row r="220" customFormat="false" ht="23.85" hidden="false" customHeight="false" outlineLevel="0" collapsed="false">
      <c r="A220" s="8" t="s">
        <v>899</v>
      </c>
      <c r="B220" s="8" t="s">
        <v>68</v>
      </c>
      <c r="C220" s="8" t="s">
        <v>820</v>
      </c>
      <c r="D220" s="8" t="s">
        <v>900</v>
      </c>
      <c r="E220" s="8" t="s">
        <v>901</v>
      </c>
      <c r="F220" s="10" t="s">
        <v>2</v>
      </c>
      <c r="G220" s="8" t="s">
        <v>291</v>
      </c>
      <c r="H220" s="8" t="s">
        <v>898</v>
      </c>
    </row>
    <row r="221" customFormat="false" ht="23.85" hidden="false" customHeight="false" outlineLevel="0" collapsed="false">
      <c r="A221" s="8" t="s">
        <v>902</v>
      </c>
      <c r="B221" s="8" t="s">
        <v>68</v>
      </c>
      <c r="C221" s="8" t="s">
        <v>903</v>
      </c>
      <c r="D221" s="8" t="s">
        <v>904</v>
      </c>
      <c r="E221" s="8" t="s">
        <v>905</v>
      </c>
      <c r="F221" s="10" t="s">
        <v>2</v>
      </c>
      <c r="G221" s="8" t="s">
        <v>291</v>
      </c>
      <c r="H221" s="8" t="s">
        <v>898</v>
      </c>
    </row>
    <row r="222" customFormat="false" ht="23.85" hidden="false" customHeight="false" outlineLevel="0" collapsed="false">
      <c r="A222" s="8" t="s">
        <v>906</v>
      </c>
      <c r="B222" s="8" t="s">
        <v>68</v>
      </c>
      <c r="C222" s="8" t="s">
        <v>805</v>
      </c>
      <c r="D222" s="8" t="s">
        <v>907</v>
      </c>
      <c r="E222" s="8" t="s">
        <v>908</v>
      </c>
      <c r="F222" s="10" t="s">
        <v>2</v>
      </c>
      <c r="G222" s="8" t="s">
        <v>98</v>
      </c>
      <c r="H222" s="8" t="s">
        <v>898</v>
      </c>
    </row>
    <row r="223" customFormat="false" ht="23.85" hidden="false" customHeight="false" outlineLevel="0" collapsed="false">
      <c r="A223" s="8" t="s">
        <v>909</v>
      </c>
      <c r="B223" s="8" t="s">
        <v>68</v>
      </c>
      <c r="C223" s="8" t="s">
        <v>805</v>
      </c>
      <c r="D223" s="8" t="s">
        <v>910</v>
      </c>
      <c r="E223" s="8" t="s">
        <v>911</v>
      </c>
      <c r="F223" s="10" t="s">
        <v>2</v>
      </c>
      <c r="G223" s="8" t="s">
        <v>291</v>
      </c>
      <c r="H223" s="8" t="s">
        <v>898</v>
      </c>
    </row>
    <row r="224" customFormat="false" ht="23.85" hidden="false" customHeight="false" outlineLevel="0" collapsed="false">
      <c r="A224" s="8" t="s">
        <v>912</v>
      </c>
      <c r="B224" s="8" t="s">
        <v>68</v>
      </c>
      <c r="C224" s="8" t="s">
        <v>805</v>
      </c>
      <c r="D224" s="8" t="s">
        <v>913</v>
      </c>
      <c r="E224" s="8" t="s">
        <v>914</v>
      </c>
      <c r="F224" s="10" t="s">
        <v>2</v>
      </c>
      <c r="G224" s="8" t="s">
        <v>291</v>
      </c>
      <c r="H224" s="8" t="s">
        <v>915</v>
      </c>
    </row>
    <row r="225" customFormat="false" ht="23.85" hidden="false" customHeight="false" outlineLevel="0" collapsed="false">
      <c r="A225" s="8" t="s">
        <v>916</v>
      </c>
      <c r="B225" s="8" t="s">
        <v>68</v>
      </c>
      <c r="C225" s="8" t="s">
        <v>917</v>
      </c>
      <c r="D225" s="8" t="s">
        <v>918</v>
      </c>
      <c r="E225" s="8" t="s">
        <v>919</v>
      </c>
      <c r="F225" s="10" t="s">
        <v>2</v>
      </c>
      <c r="G225" s="8" t="s">
        <v>291</v>
      </c>
      <c r="H225" s="8" t="s">
        <v>920</v>
      </c>
    </row>
    <row r="226" customFormat="false" ht="15" hidden="false" customHeight="false" outlineLevel="0" collapsed="false">
      <c r="A226" s="8" t="s">
        <v>921</v>
      </c>
      <c r="B226" s="8" t="s">
        <v>48</v>
      </c>
      <c r="C226" s="8" t="s">
        <v>922</v>
      </c>
      <c r="D226" s="8" t="s">
        <v>923</v>
      </c>
      <c r="E226" s="8" t="s">
        <v>924</v>
      </c>
      <c r="F226" s="10" t="s">
        <v>2</v>
      </c>
      <c r="G226" s="8" t="s">
        <v>98</v>
      </c>
      <c r="H226" s="8" t="s">
        <v>898</v>
      </c>
    </row>
    <row r="227" customFormat="false" ht="15" hidden="false" customHeight="false" outlineLevel="0" collapsed="false">
      <c r="A227" s="8" t="s">
        <v>925</v>
      </c>
      <c r="B227" s="8" t="s">
        <v>48</v>
      </c>
      <c r="C227" s="8" t="s">
        <v>666</v>
      </c>
      <c r="D227" s="8" t="s">
        <v>926</v>
      </c>
      <c r="E227" s="8" t="s">
        <v>927</v>
      </c>
      <c r="F227" s="10" t="s">
        <v>2</v>
      </c>
      <c r="G227" s="8" t="s">
        <v>98</v>
      </c>
      <c r="H227" s="8" t="s">
        <v>898</v>
      </c>
    </row>
    <row r="228" customFormat="false" ht="23.85" hidden="false" customHeight="false" outlineLevel="0" collapsed="false">
      <c r="A228" s="8" t="s">
        <v>928</v>
      </c>
      <c r="B228" s="8" t="s">
        <v>20</v>
      </c>
      <c r="C228" s="8" t="s">
        <v>136</v>
      </c>
      <c r="D228" s="8" t="s">
        <v>929</v>
      </c>
      <c r="E228" s="8" t="s">
        <v>930</v>
      </c>
      <c r="F228" s="10" t="s">
        <v>2</v>
      </c>
      <c r="G228" s="8" t="s">
        <v>98</v>
      </c>
      <c r="H228" s="8" t="s">
        <v>898</v>
      </c>
    </row>
    <row r="229" customFormat="false" ht="23.85" hidden="false" customHeight="false" outlineLevel="0" collapsed="false">
      <c r="A229" s="8" t="s">
        <v>931</v>
      </c>
      <c r="B229" s="8" t="s">
        <v>20</v>
      </c>
      <c r="C229" s="8" t="s">
        <v>64</v>
      </c>
      <c r="D229" s="8" t="s">
        <v>932</v>
      </c>
      <c r="E229" s="8" t="s">
        <v>933</v>
      </c>
      <c r="F229" s="10" t="s">
        <v>2</v>
      </c>
      <c r="G229" s="8" t="s">
        <v>98</v>
      </c>
      <c r="H229" s="8" t="s">
        <v>934</v>
      </c>
    </row>
    <row r="230" customFormat="false" ht="15" hidden="false" customHeight="false" outlineLevel="0" collapsed="false">
      <c r="A230" s="8" t="s">
        <v>935</v>
      </c>
      <c r="B230" s="8" t="s">
        <v>34</v>
      </c>
      <c r="C230" s="8" t="s">
        <v>558</v>
      </c>
      <c r="D230" s="8" t="s">
        <v>936</v>
      </c>
      <c r="E230" s="8" t="s">
        <v>937</v>
      </c>
      <c r="F230" s="11" t="s">
        <v>4</v>
      </c>
      <c r="G230" s="8" t="s">
        <v>98</v>
      </c>
      <c r="H230" s="8" t="s">
        <v>938</v>
      </c>
    </row>
    <row r="231" customFormat="false" ht="15" hidden="false" customHeight="false" outlineLevel="0" collapsed="false">
      <c r="A231" s="8" t="s">
        <v>939</v>
      </c>
      <c r="B231" s="8" t="s">
        <v>34</v>
      </c>
      <c r="C231" s="8" t="s">
        <v>505</v>
      </c>
      <c r="D231" s="8" t="s">
        <v>940</v>
      </c>
      <c r="E231" s="8" t="s">
        <v>941</v>
      </c>
      <c r="F231" s="11" t="s">
        <v>4</v>
      </c>
      <c r="G231" s="8" t="s">
        <v>4</v>
      </c>
      <c r="H231" s="8" t="s">
        <v>711</v>
      </c>
    </row>
    <row r="232" customFormat="false" ht="15" hidden="false" customHeight="false" outlineLevel="0" collapsed="false">
      <c r="A232" s="8" t="s">
        <v>942</v>
      </c>
      <c r="B232" s="8" t="s">
        <v>68</v>
      </c>
      <c r="C232" s="8" t="s">
        <v>805</v>
      </c>
      <c r="D232" s="8" t="s">
        <v>943</v>
      </c>
      <c r="E232" s="8" t="s">
        <v>944</v>
      </c>
      <c r="F232" s="11" t="s">
        <v>4</v>
      </c>
      <c r="G232" s="8" t="s">
        <v>4</v>
      </c>
      <c r="H232" s="8" t="s">
        <v>98</v>
      </c>
    </row>
    <row r="233" customFormat="false" ht="23.85" hidden="false" customHeight="false" outlineLevel="0" collapsed="false">
      <c r="A233" s="8" t="s">
        <v>945</v>
      </c>
      <c r="B233" s="8" t="s">
        <v>70</v>
      </c>
      <c r="C233" s="8" t="s">
        <v>946</v>
      </c>
      <c r="D233" s="8" t="s">
        <v>947</v>
      </c>
      <c r="E233" s="8" t="s">
        <v>948</v>
      </c>
      <c r="F233" s="12" t="s">
        <v>6</v>
      </c>
      <c r="G233" s="8" t="s">
        <v>98</v>
      </c>
      <c r="H233" s="8" t="s">
        <v>98</v>
      </c>
    </row>
    <row r="234" customFormat="false" ht="23.85" hidden="false" customHeight="false" outlineLevel="0" collapsed="false">
      <c r="A234" s="8" t="s">
        <v>949</v>
      </c>
      <c r="B234" s="8" t="s">
        <v>70</v>
      </c>
      <c r="C234" s="8" t="s">
        <v>946</v>
      </c>
      <c r="D234" s="8" t="s">
        <v>950</v>
      </c>
      <c r="E234" s="8" t="s">
        <v>951</v>
      </c>
      <c r="F234" s="12" t="s">
        <v>6</v>
      </c>
      <c r="G234" s="8" t="s">
        <v>98</v>
      </c>
      <c r="H234" s="8" t="s">
        <v>98</v>
      </c>
    </row>
    <row r="235" customFormat="false" ht="23.85" hidden="false" customHeight="false" outlineLevel="0" collapsed="false">
      <c r="A235" s="8" t="s">
        <v>952</v>
      </c>
      <c r="B235" s="8" t="s">
        <v>70</v>
      </c>
      <c r="C235" s="8" t="s">
        <v>946</v>
      </c>
      <c r="D235" s="8" t="s">
        <v>953</v>
      </c>
      <c r="E235" s="8" t="s">
        <v>954</v>
      </c>
      <c r="F235" s="12" t="s">
        <v>6</v>
      </c>
      <c r="G235" s="8" t="s">
        <v>98</v>
      </c>
      <c r="H235" s="8" t="s">
        <v>955</v>
      </c>
    </row>
    <row r="236" customFormat="false" ht="15" hidden="false" customHeight="false" outlineLevel="0" collapsed="false">
      <c r="A236" s="8" t="s">
        <v>956</v>
      </c>
      <c r="B236" s="8" t="s">
        <v>70</v>
      </c>
      <c r="C236" s="8" t="s">
        <v>946</v>
      </c>
      <c r="D236" s="8" t="s">
        <v>957</v>
      </c>
      <c r="E236" s="8" t="s">
        <v>958</v>
      </c>
      <c r="F236" s="12" t="s">
        <v>6</v>
      </c>
      <c r="G236" s="8" t="s">
        <v>98</v>
      </c>
      <c r="H236" s="8" t="s">
        <v>959</v>
      </c>
    </row>
    <row r="237" customFormat="false" ht="23.85" hidden="false" customHeight="false" outlineLevel="0" collapsed="false">
      <c r="A237" s="8" t="s">
        <v>960</v>
      </c>
      <c r="B237" s="8" t="s">
        <v>70</v>
      </c>
      <c r="C237" s="8" t="s">
        <v>946</v>
      </c>
      <c r="D237" s="8" t="s">
        <v>961</v>
      </c>
      <c r="E237" s="8" t="s">
        <v>962</v>
      </c>
      <c r="F237" s="12" t="s">
        <v>6</v>
      </c>
      <c r="G237" s="8" t="s">
        <v>98</v>
      </c>
      <c r="H237" s="8" t="s">
        <v>98</v>
      </c>
    </row>
    <row r="238" customFormat="false" ht="15" hidden="false" customHeight="false" outlineLevel="0" collapsed="false">
      <c r="A238" s="8" t="s">
        <v>963</v>
      </c>
      <c r="B238" s="8" t="s">
        <v>70</v>
      </c>
      <c r="C238" s="8" t="s">
        <v>946</v>
      </c>
      <c r="D238" s="8" t="s">
        <v>964</v>
      </c>
      <c r="E238" s="8" t="s">
        <v>965</v>
      </c>
      <c r="F238" s="12" t="s">
        <v>6</v>
      </c>
      <c r="G238" s="8" t="s">
        <v>98</v>
      </c>
      <c r="H238" s="8" t="s">
        <v>98</v>
      </c>
    </row>
    <row r="239" customFormat="false" ht="15" hidden="false" customHeight="false" outlineLevel="0" collapsed="false">
      <c r="A239" s="8" t="s">
        <v>966</v>
      </c>
      <c r="B239" s="8" t="s">
        <v>70</v>
      </c>
      <c r="C239" s="8" t="s">
        <v>946</v>
      </c>
      <c r="D239" s="8" t="s">
        <v>967</v>
      </c>
      <c r="E239" s="8" t="s">
        <v>968</v>
      </c>
      <c r="F239" s="12" t="s">
        <v>6</v>
      </c>
      <c r="G239" s="8" t="s">
        <v>98</v>
      </c>
      <c r="H239" s="8" t="s">
        <v>98</v>
      </c>
    </row>
    <row r="240" customFormat="false" ht="23.85" hidden="false" customHeight="false" outlineLevel="0" collapsed="false">
      <c r="A240" s="8" t="s">
        <v>969</v>
      </c>
      <c r="B240" s="8" t="s">
        <v>70</v>
      </c>
      <c r="C240" s="8" t="s">
        <v>946</v>
      </c>
      <c r="D240" s="8" t="s">
        <v>970</v>
      </c>
      <c r="E240" s="8" t="s">
        <v>971</v>
      </c>
      <c r="F240" s="12" t="s">
        <v>6</v>
      </c>
      <c r="G240" s="8" t="s">
        <v>98</v>
      </c>
      <c r="H240" s="8" t="s">
        <v>972</v>
      </c>
    </row>
    <row r="241" customFormat="false" ht="15" hidden="false" customHeight="false" outlineLevel="0" collapsed="false">
      <c r="A241" s="8" t="s">
        <v>973</v>
      </c>
      <c r="B241" s="8" t="s">
        <v>70</v>
      </c>
      <c r="C241" s="8" t="s">
        <v>946</v>
      </c>
      <c r="D241" s="8" t="s">
        <v>974</v>
      </c>
      <c r="E241" s="8" t="s">
        <v>975</v>
      </c>
      <c r="F241" s="12" t="s">
        <v>6</v>
      </c>
      <c r="G241" s="8" t="s">
        <v>98</v>
      </c>
      <c r="H241" s="8" t="s">
        <v>98</v>
      </c>
    </row>
    <row r="242" customFormat="false" ht="15" hidden="false" customHeight="false" outlineLevel="0" collapsed="false">
      <c r="A242" s="8" t="s">
        <v>976</v>
      </c>
      <c r="B242" s="8" t="s">
        <v>70</v>
      </c>
      <c r="C242" s="8" t="s">
        <v>946</v>
      </c>
      <c r="D242" s="8" t="s">
        <v>977</v>
      </c>
      <c r="E242" s="8" t="s">
        <v>978</v>
      </c>
      <c r="F242" s="12" t="s">
        <v>6</v>
      </c>
      <c r="G242" s="8" t="s">
        <v>98</v>
      </c>
      <c r="H242" s="8" t="s">
        <v>98</v>
      </c>
    </row>
    <row r="243" customFormat="false" ht="15" hidden="false" customHeight="false" outlineLevel="0" collapsed="false">
      <c r="A243" s="8" t="s">
        <v>979</v>
      </c>
      <c r="B243" s="8" t="s">
        <v>70</v>
      </c>
      <c r="C243" s="8" t="s">
        <v>946</v>
      </c>
      <c r="D243" s="8" t="s">
        <v>980</v>
      </c>
      <c r="E243" s="8" t="s">
        <v>981</v>
      </c>
      <c r="F243" s="12" t="s">
        <v>6</v>
      </c>
      <c r="G243" s="8" t="s">
        <v>98</v>
      </c>
      <c r="H243" s="8" t="s">
        <v>98</v>
      </c>
    </row>
    <row r="244" customFormat="false" ht="23.85" hidden="false" customHeight="false" outlineLevel="0" collapsed="false">
      <c r="A244" s="8" t="s">
        <v>982</v>
      </c>
      <c r="B244" s="8" t="s">
        <v>70</v>
      </c>
      <c r="C244" s="8" t="s">
        <v>946</v>
      </c>
      <c r="D244" s="8" t="s">
        <v>983</v>
      </c>
      <c r="E244" s="8" t="s">
        <v>984</v>
      </c>
      <c r="F244" s="12" t="s">
        <v>6</v>
      </c>
      <c r="G244" s="8" t="s">
        <v>98</v>
      </c>
      <c r="H244" s="8" t="s">
        <v>985</v>
      </c>
    </row>
    <row r="245" customFormat="false" ht="35.05" hidden="false" customHeight="false" outlineLevel="0" collapsed="false">
      <c r="A245" s="8" t="s">
        <v>986</v>
      </c>
      <c r="B245" s="8" t="s">
        <v>70</v>
      </c>
      <c r="C245" s="8" t="s">
        <v>987</v>
      </c>
      <c r="D245" s="8" t="s">
        <v>988</v>
      </c>
      <c r="E245" s="8" t="s">
        <v>989</v>
      </c>
      <c r="F245" s="12" t="s">
        <v>6</v>
      </c>
      <c r="G245" s="8" t="s">
        <v>98</v>
      </c>
      <c r="H245" s="8" t="s">
        <v>990</v>
      </c>
    </row>
    <row r="246" customFormat="false" ht="23.85" hidden="false" customHeight="false" outlineLevel="0" collapsed="false">
      <c r="A246" s="8" t="s">
        <v>991</v>
      </c>
      <c r="B246" s="8" t="s">
        <v>72</v>
      </c>
      <c r="C246" s="8" t="s">
        <v>992</v>
      </c>
      <c r="D246" s="8" t="s">
        <v>993</v>
      </c>
      <c r="E246" s="8" t="s">
        <v>994</v>
      </c>
      <c r="F246" s="12" t="s">
        <v>6</v>
      </c>
      <c r="G246" s="8" t="s">
        <v>98</v>
      </c>
      <c r="H246" s="8" t="s">
        <v>995</v>
      </c>
    </row>
    <row r="247" customFormat="false" ht="23.85" hidden="false" customHeight="false" outlineLevel="0" collapsed="false">
      <c r="A247" s="8" t="s">
        <v>996</v>
      </c>
      <c r="B247" s="8" t="s">
        <v>72</v>
      </c>
      <c r="C247" s="8" t="s">
        <v>922</v>
      </c>
      <c r="D247" s="8" t="s">
        <v>997</v>
      </c>
      <c r="E247" s="8" t="s">
        <v>998</v>
      </c>
      <c r="F247" s="12" t="s">
        <v>6</v>
      </c>
      <c r="G247" s="8" t="s">
        <v>98</v>
      </c>
      <c r="H247" s="8" t="s">
        <v>98</v>
      </c>
    </row>
    <row r="248" customFormat="false" ht="15" hidden="false" customHeight="false" outlineLevel="0" collapsed="false">
      <c r="A248" s="8" t="s">
        <v>999</v>
      </c>
      <c r="B248" s="8" t="s">
        <v>72</v>
      </c>
      <c r="C248" s="8" t="s">
        <v>922</v>
      </c>
      <c r="D248" s="8" t="s">
        <v>1000</v>
      </c>
      <c r="E248" s="8" t="s">
        <v>1001</v>
      </c>
      <c r="F248" s="12" t="s">
        <v>6</v>
      </c>
      <c r="G248" s="8" t="s">
        <v>98</v>
      </c>
      <c r="H248" s="8" t="s">
        <v>98</v>
      </c>
    </row>
    <row r="249" customFormat="false" ht="23.85" hidden="false" customHeight="false" outlineLevel="0" collapsed="false">
      <c r="A249" s="8" t="s">
        <v>1002</v>
      </c>
      <c r="B249" s="8" t="s">
        <v>72</v>
      </c>
      <c r="C249" s="8" t="s">
        <v>1003</v>
      </c>
      <c r="D249" s="8" t="s">
        <v>1004</v>
      </c>
      <c r="E249" s="8" t="s">
        <v>1005</v>
      </c>
      <c r="F249" s="12" t="s">
        <v>6</v>
      </c>
      <c r="G249" s="8" t="s">
        <v>98</v>
      </c>
      <c r="H249" s="8" t="s">
        <v>98</v>
      </c>
    </row>
    <row r="250" customFormat="false" ht="15" hidden="false" customHeight="false" outlineLevel="0" collapsed="false">
      <c r="A250" s="8" t="s">
        <v>1006</v>
      </c>
      <c r="B250" s="8" t="s">
        <v>72</v>
      </c>
      <c r="C250" s="8" t="s">
        <v>922</v>
      </c>
      <c r="D250" s="8" t="s">
        <v>1007</v>
      </c>
      <c r="E250" s="8" t="s">
        <v>1008</v>
      </c>
      <c r="F250" s="12" t="s">
        <v>6</v>
      </c>
      <c r="G250" s="8" t="s">
        <v>98</v>
      </c>
      <c r="H250" s="8" t="s">
        <v>98</v>
      </c>
    </row>
    <row r="251" customFormat="false" ht="23.85" hidden="false" customHeight="false" outlineLevel="0" collapsed="false">
      <c r="A251" s="8" t="s">
        <v>1009</v>
      </c>
      <c r="B251" s="8" t="s">
        <v>74</v>
      </c>
      <c r="C251" s="8" t="s">
        <v>1010</v>
      </c>
      <c r="D251" s="8" t="s">
        <v>1011</v>
      </c>
      <c r="E251" s="8" t="s">
        <v>1012</v>
      </c>
      <c r="F251" s="12" t="s">
        <v>6</v>
      </c>
      <c r="G251" s="8" t="s">
        <v>98</v>
      </c>
      <c r="H251" s="8" t="s">
        <v>98</v>
      </c>
    </row>
    <row r="252" customFormat="false" ht="23.85" hidden="false" customHeight="false" outlineLevel="0" collapsed="false">
      <c r="A252" s="8" t="s">
        <v>1013</v>
      </c>
      <c r="B252" s="8" t="s">
        <v>74</v>
      </c>
      <c r="C252" s="8" t="s">
        <v>1010</v>
      </c>
      <c r="D252" s="8" t="s">
        <v>1014</v>
      </c>
      <c r="E252" s="8" t="s">
        <v>1015</v>
      </c>
      <c r="F252" s="12" t="s">
        <v>6</v>
      </c>
      <c r="G252" s="8" t="s">
        <v>98</v>
      </c>
      <c r="H252" s="8" t="s">
        <v>98</v>
      </c>
    </row>
    <row r="253" customFormat="false" ht="23.85" hidden="false" customHeight="false" outlineLevel="0" collapsed="false">
      <c r="A253" s="8" t="s">
        <v>1016</v>
      </c>
      <c r="B253" s="8" t="s">
        <v>74</v>
      </c>
      <c r="C253" s="8" t="s">
        <v>1010</v>
      </c>
      <c r="D253" s="8" t="s">
        <v>1017</v>
      </c>
      <c r="E253" s="8" t="s">
        <v>1018</v>
      </c>
      <c r="F253" s="12" t="s">
        <v>6</v>
      </c>
      <c r="G253" s="8" t="s">
        <v>98</v>
      </c>
      <c r="H253" s="8" t="s">
        <v>98</v>
      </c>
    </row>
    <row r="254" customFormat="false" ht="15" hidden="false" customHeight="false" outlineLevel="0" collapsed="false">
      <c r="A254" s="8" t="s">
        <v>1019</v>
      </c>
      <c r="B254" s="8" t="s">
        <v>74</v>
      </c>
      <c r="C254" s="8" t="s">
        <v>1010</v>
      </c>
      <c r="D254" s="8" t="s">
        <v>1020</v>
      </c>
      <c r="E254" s="8" t="s">
        <v>1021</v>
      </c>
      <c r="F254" s="12" t="s">
        <v>6</v>
      </c>
      <c r="G254" s="8" t="s">
        <v>98</v>
      </c>
      <c r="H254" s="8" t="s">
        <v>98</v>
      </c>
    </row>
    <row r="255" customFormat="false" ht="23.85" hidden="false" customHeight="false" outlineLevel="0" collapsed="false">
      <c r="A255" s="8" t="s">
        <v>1022</v>
      </c>
      <c r="B255" s="8" t="s">
        <v>74</v>
      </c>
      <c r="C255" s="8" t="s">
        <v>1023</v>
      </c>
      <c r="D255" s="8" t="s">
        <v>1024</v>
      </c>
      <c r="E255" s="8" t="s">
        <v>1025</v>
      </c>
      <c r="F255" s="12" t="s">
        <v>6</v>
      </c>
      <c r="G255" s="8" t="s">
        <v>98</v>
      </c>
      <c r="H255" s="8" t="s">
        <v>1026</v>
      </c>
    </row>
    <row r="256" customFormat="false" ht="23.85" hidden="false" customHeight="false" outlineLevel="0" collapsed="false">
      <c r="A256" s="8" t="s">
        <v>1027</v>
      </c>
      <c r="B256" s="8" t="s">
        <v>76</v>
      </c>
      <c r="C256" s="8" t="s">
        <v>820</v>
      </c>
      <c r="D256" s="8" t="s">
        <v>1028</v>
      </c>
      <c r="E256" s="8" t="s">
        <v>1029</v>
      </c>
      <c r="F256" s="12" t="s">
        <v>6</v>
      </c>
      <c r="G256" s="8" t="s">
        <v>98</v>
      </c>
      <c r="H256" s="8" t="s">
        <v>98</v>
      </c>
    </row>
    <row r="257" customFormat="false" ht="15" hidden="false" customHeight="false" outlineLevel="0" collapsed="false">
      <c r="A257" s="8" t="s">
        <v>1030</v>
      </c>
      <c r="B257" s="8" t="s">
        <v>76</v>
      </c>
      <c r="C257" s="8" t="s">
        <v>820</v>
      </c>
      <c r="D257" s="8" t="s">
        <v>1031</v>
      </c>
      <c r="E257" s="8" t="s">
        <v>1032</v>
      </c>
      <c r="F257" s="12" t="s">
        <v>6</v>
      </c>
      <c r="G257" s="8" t="s">
        <v>98</v>
      </c>
      <c r="H257" s="8" t="s">
        <v>98</v>
      </c>
    </row>
    <row r="258" customFormat="false" ht="23.85" hidden="false" customHeight="false" outlineLevel="0" collapsed="false">
      <c r="A258" s="8" t="s">
        <v>1033</v>
      </c>
      <c r="B258" s="8" t="s">
        <v>76</v>
      </c>
      <c r="C258" s="8" t="s">
        <v>820</v>
      </c>
      <c r="D258" s="8" t="s">
        <v>1034</v>
      </c>
      <c r="E258" s="8" t="s">
        <v>1035</v>
      </c>
      <c r="F258" s="12" t="s">
        <v>6</v>
      </c>
      <c r="G258" s="8" t="s">
        <v>98</v>
      </c>
      <c r="H258" s="8" t="s">
        <v>98</v>
      </c>
    </row>
    <row r="259" customFormat="false" ht="23.85" hidden="false" customHeight="false" outlineLevel="0" collapsed="false">
      <c r="A259" s="8" t="s">
        <v>1036</v>
      </c>
      <c r="B259" s="8" t="s">
        <v>76</v>
      </c>
      <c r="C259" s="8" t="s">
        <v>820</v>
      </c>
      <c r="D259" s="8" t="s">
        <v>1037</v>
      </c>
      <c r="E259" s="8" t="s">
        <v>1038</v>
      </c>
      <c r="F259" s="12" t="s">
        <v>6</v>
      </c>
      <c r="G259" s="8" t="s">
        <v>98</v>
      </c>
      <c r="H259" s="8" t="s">
        <v>98</v>
      </c>
    </row>
    <row r="260" customFormat="false" ht="15" hidden="false" customHeight="false" outlineLevel="0" collapsed="false">
      <c r="A260" s="8" t="s">
        <v>1039</v>
      </c>
      <c r="B260" s="8" t="s">
        <v>76</v>
      </c>
      <c r="C260" s="8" t="s">
        <v>820</v>
      </c>
      <c r="D260" s="8" t="s">
        <v>1040</v>
      </c>
      <c r="E260" s="8" t="s">
        <v>1041</v>
      </c>
      <c r="F260" s="12" t="s">
        <v>6</v>
      </c>
      <c r="G260" s="8" t="s">
        <v>98</v>
      </c>
      <c r="H260" s="8" t="s">
        <v>98</v>
      </c>
    </row>
    <row r="261" customFormat="false" ht="23.85" hidden="false" customHeight="false" outlineLevel="0" collapsed="false">
      <c r="A261" s="8" t="s">
        <v>1042</v>
      </c>
      <c r="B261" s="8" t="s">
        <v>78</v>
      </c>
      <c r="C261" s="8" t="s">
        <v>1043</v>
      </c>
      <c r="D261" s="8" t="s">
        <v>1044</v>
      </c>
      <c r="E261" s="8" t="s">
        <v>1045</v>
      </c>
      <c r="F261" s="12" t="s">
        <v>6</v>
      </c>
      <c r="G261" s="8" t="s">
        <v>98</v>
      </c>
      <c r="H261" s="8" t="s">
        <v>98</v>
      </c>
    </row>
    <row r="262" customFormat="false" ht="23.85" hidden="false" customHeight="false" outlineLevel="0" collapsed="false">
      <c r="A262" s="8" t="s">
        <v>1046</v>
      </c>
      <c r="B262" s="8" t="s">
        <v>78</v>
      </c>
      <c r="C262" s="8" t="s">
        <v>1043</v>
      </c>
      <c r="D262" s="8" t="s">
        <v>1047</v>
      </c>
      <c r="E262" s="8" t="s">
        <v>1048</v>
      </c>
      <c r="F262" s="12" t="s">
        <v>6</v>
      </c>
      <c r="G262" s="8" t="s">
        <v>98</v>
      </c>
      <c r="H262" s="8" t="s">
        <v>98</v>
      </c>
    </row>
    <row r="263" customFormat="false" ht="23.85" hidden="false" customHeight="false" outlineLevel="0" collapsed="false">
      <c r="A263" s="8" t="s">
        <v>1049</v>
      </c>
      <c r="B263" s="8" t="s">
        <v>80</v>
      </c>
      <c r="C263" s="8" t="s">
        <v>1050</v>
      </c>
      <c r="D263" s="8" t="s">
        <v>1051</v>
      </c>
      <c r="E263" s="8" t="s">
        <v>1052</v>
      </c>
      <c r="F263" s="12" t="s">
        <v>6</v>
      </c>
      <c r="G263" s="8" t="s">
        <v>98</v>
      </c>
      <c r="H263" s="8" t="s">
        <v>1053</v>
      </c>
    </row>
    <row r="264" customFormat="false" ht="23.85" hidden="false" customHeight="false" outlineLevel="0" collapsed="false">
      <c r="A264" s="8" t="s">
        <v>1054</v>
      </c>
      <c r="B264" s="8" t="s">
        <v>80</v>
      </c>
      <c r="C264" s="8" t="s">
        <v>1055</v>
      </c>
      <c r="D264" s="8" t="s">
        <v>1056</v>
      </c>
      <c r="E264" s="8" t="s">
        <v>1057</v>
      </c>
      <c r="F264" s="12" t="s">
        <v>6</v>
      </c>
      <c r="G264" s="8" t="s">
        <v>98</v>
      </c>
      <c r="H264" s="8" t="s">
        <v>98</v>
      </c>
    </row>
    <row r="265" customFormat="false" ht="35.05" hidden="false" customHeight="false" outlineLevel="0" collapsed="false">
      <c r="A265" s="8" t="s">
        <v>1058</v>
      </c>
      <c r="B265" s="8" t="s">
        <v>82</v>
      </c>
      <c r="C265" s="8" t="s">
        <v>1059</v>
      </c>
      <c r="D265" s="8" t="s">
        <v>1060</v>
      </c>
      <c r="E265" s="8" t="s">
        <v>1061</v>
      </c>
      <c r="F265" s="12" t="s">
        <v>6</v>
      </c>
      <c r="G265" s="8" t="s">
        <v>98</v>
      </c>
      <c r="H265" s="8" t="s">
        <v>98</v>
      </c>
    </row>
    <row r="266" customFormat="false" ht="23.85" hidden="false" customHeight="false" outlineLevel="0" collapsed="false">
      <c r="A266" s="8" t="s">
        <v>1062</v>
      </c>
      <c r="B266" s="8" t="s">
        <v>84</v>
      </c>
      <c r="C266" s="8" t="s">
        <v>1063</v>
      </c>
      <c r="D266" s="8" t="s">
        <v>1064</v>
      </c>
      <c r="E266" s="8" t="s">
        <v>1065</v>
      </c>
      <c r="F266" s="12" t="s">
        <v>6</v>
      </c>
      <c r="G266" s="8" t="s">
        <v>98</v>
      </c>
      <c r="H266" s="8" t="s">
        <v>98</v>
      </c>
    </row>
    <row r="267" customFormat="false" ht="23.85" hidden="false" customHeight="false" outlineLevel="0" collapsed="false">
      <c r="A267" s="8" t="s">
        <v>1066</v>
      </c>
      <c r="B267" s="8" t="s">
        <v>86</v>
      </c>
      <c r="C267" s="8" t="s">
        <v>18</v>
      </c>
      <c r="D267" s="8" t="s">
        <v>1067</v>
      </c>
      <c r="E267" s="8" t="s">
        <v>1068</v>
      </c>
      <c r="F267" s="12" t="s">
        <v>6</v>
      </c>
      <c r="G267" s="8" t="s">
        <v>98</v>
      </c>
      <c r="H267" s="8" t="s">
        <v>98</v>
      </c>
    </row>
  </sheetData>
  <autoFilter ref="A1:H267"/>
  <dataValidations count="1">
    <dataValidation allowBlank="false" errorStyle="stop" operator="between" showDropDown="false" showErrorMessage="false" showInputMessage="false" sqref="F2:F467" type="list">
      <formula1>"Actual,Futuro,Asana ahora,Descartado"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2026-09-10T23:02:50Z</dcterms:created>
  <dc:creator>openpyxl</dc:creator>
  <dc:description/>
  <dc:language>es-MX</dc:language>
  <cp:lastModifiedBy/>
  <dcterms:modified xsi:type="dcterms:W3CDTF">2026-09-10T23:02:50Z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